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74bcacb9fbcec15/Documents/UNCW/PWCaseStudy/2026Update/"/>
    </mc:Choice>
  </mc:AlternateContent>
  <xr:revisionPtr revIDLastSave="6" documentId="8_{CBF647D0-9A62-444B-B1ED-72361548AE8D}" xr6:coauthVersionLast="47" xr6:coauthVersionMax="47" xr10:uidLastSave="{9FCAC677-C629-437E-83C6-7F166AF7A1A3}"/>
  <bookViews>
    <workbookView xWindow="19095" yWindow="0" windowWidth="19410" windowHeight="20985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1" l="1"/>
  <c r="E37" i="1"/>
  <c r="F33" i="1"/>
  <c r="E31" i="1"/>
  <c r="E30" i="1"/>
  <c r="E29" i="1"/>
  <c r="F25" i="1"/>
  <c r="E23" i="1"/>
  <c r="E22" i="1"/>
  <c r="E21" i="1"/>
  <c r="E25" i="1" s="1"/>
  <c r="F17" i="1"/>
  <c r="E15" i="1"/>
  <c r="E14" i="1"/>
  <c r="E13" i="1"/>
  <c r="E12" i="1"/>
  <c r="E11" i="1"/>
  <c r="E10" i="1"/>
  <c r="E9" i="1"/>
  <c r="E8" i="1"/>
  <c r="E7" i="1"/>
  <c r="E6" i="1"/>
  <c r="E17" i="1" l="1"/>
  <c r="E33" i="1"/>
</calcChain>
</file>

<file path=xl/sharedStrings.xml><?xml version="1.0" encoding="utf-8"?>
<sst xmlns="http://schemas.openxmlformats.org/spreadsheetml/2006/main" count="76" uniqueCount="40">
  <si>
    <t>Mark and Lisa Taylor Current Portfolio</t>
  </si>
  <si>
    <t>Prices as of April 20, 2026</t>
  </si>
  <si>
    <t>Mark and Lisa Taylor JTWROS Brokerage Account</t>
  </si>
  <si>
    <t>Ticker</t>
  </si>
  <si>
    <t>Name</t>
  </si>
  <si>
    <t>Shares</t>
  </si>
  <si>
    <t>Price</t>
  </si>
  <si>
    <t>Value</t>
  </si>
  <si>
    <t>Cost Basis</t>
  </si>
  <si>
    <t>WFC</t>
  </si>
  <si>
    <t>Wells Fargo</t>
  </si>
  <si>
    <t>C</t>
  </si>
  <si>
    <t>Citigroup</t>
  </si>
  <si>
    <t>XOM</t>
  </si>
  <si>
    <t>Exxon</t>
  </si>
  <si>
    <t>DUK</t>
  </si>
  <si>
    <t>Duke Energy</t>
  </si>
  <si>
    <t>MCD</t>
  </si>
  <si>
    <t>McDonalds</t>
  </si>
  <si>
    <t>SBUX</t>
  </si>
  <si>
    <t>Starbucks</t>
  </si>
  <si>
    <t>MSFT</t>
  </si>
  <si>
    <t>Microsoft</t>
  </si>
  <si>
    <t>SCHO</t>
  </si>
  <si>
    <t>Schwab Short Term Treasury</t>
  </si>
  <si>
    <t>BND</t>
  </si>
  <si>
    <t>Vangaurd Total Bond Market Fund</t>
  </si>
  <si>
    <t>TBGVX</t>
  </si>
  <si>
    <t>Tweedy Brown International Value Fund</t>
  </si>
  <si>
    <t>Total</t>
  </si>
  <si>
    <t>Mark Traditional IRA</t>
  </si>
  <si>
    <t>FMAGX</t>
  </si>
  <si>
    <t>Fidelity Magellan Fund</t>
  </si>
  <si>
    <t>FCNTX</t>
  </si>
  <si>
    <t>Fidelity Contrafund</t>
  </si>
  <si>
    <t>FTBFX</t>
  </si>
  <si>
    <t>Fidelity Total Bond Fund</t>
  </si>
  <si>
    <t>Lisa Traditional IRA</t>
  </si>
  <si>
    <t>Mark Roth IRA</t>
  </si>
  <si>
    <t>Lisa Roth 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</si>
</sst>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* #,##0_);_(* \(#,##0\);_(* \-??_);_(@_)"/>
    <numFmt numFmtId="166" formatCode="_(\$* #,##0.00_);_(\$* \(#,##0.00\);_(\$* \-??_);_(@_)"/>
  </numFmts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/>
    <xf numFmtId="166" fontId="2" fillId="0" borderId="0"/>
    <xf numFmtId="9" fontId="2" fillId="0" borderId="0"/>
  </cellStyleXfs>
  <cellXfs count="7">
    <xf numFmtId="0" fontId="0" fillId="0" borderId="0" xfId="0"/>
    <xf numFmtId="165" fontId="2" fillId="0" borderId="0" xfId="1" applyNumberFormat="1"/>
    <xf numFmtId="166" fontId="2" fillId="0" borderId="0" xfId="2"/>
    <xf numFmtId="0" fontId="1" fillId="0" borderId="0" xfId="0" applyFont="1"/>
    <xf numFmtId="165" fontId="1" fillId="0" borderId="0" xfId="1" applyNumberFormat="1" applyFont="1"/>
    <xf numFmtId="166" fontId="1" fillId="0" borderId="0" xfId="2" applyFont="1"/>
    <xf numFmtId="9" fontId="2" fillId="0" borderId="0" xfId="3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tabSelected="1" zoomScaleNormal="100" workbookViewId="0">
      <selection activeCell="F32" sqref="F32"/>
    </sheetView>
  </sheetViews>
  <sheetFormatPr defaultColWidth="8.5703125" defaultRowHeight="15" x14ac:dyDescent="0.25"/>
  <cols>
    <col min="2" max="2" width="38.5703125" customWidth="1"/>
    <col min="3" max="3" width="9.42578125" style="1" customWidth="1"/>
    <col min="4" max="4" width="9" style="2" customWidth="1"/>
    <col min="5" max="5" width="14.85546875" style="2" customWidth="1"/>
    <col min="6" max="6" width="13.85546875" customWidth="1"/>
  </cols>
  <sheetData>
    <row r="1" spans="1:6" x14ac:dyDescent="0.25">
      <c r="A1" s="3" t="s">
        <v>0</v>
      </c>
    </row>
    <row r="2" spans="1:6" x14ac:dyDescent="0.25">
      <c r="A2" t="s">
        <v>1</v>
      </c>
    </row>
    <row r="4" spans="1:6" x14ac:dyDescent="0.25">
      <c r="A4" s="3" t="s">
        <v>2</v>
      </c>
    </row>
    <row r="5" spans="1:6" x14ac:dyDescent="0.25">
      <c r="A5" s="3" t="s">
        <v>3</v>
      </c>
      <c r="B5" s="3" t="s">
        <v>4</v>
      </c>
      <c r="C5" s="4" t="s">
        <v>5</v>
      </c>
      <c r="D5" s="5" t="s">
        <v>6</v>
      </c>
      <c r="E5" s="5" t="s">
        <v>7</v>
      </c>
      <c r="F5" s="3" t="s">
        <v>8</v>
      </c>
    </row>
    <row r="6" spans="1:6" x14ac:dyDescent="0.25">
      <c r="A6" t="s">
        <v>9</v>
      </c>
      <c r="B6" t="s">
        <v>10</v>
      </c>
      <c r="C6" s="1">
        <v>900</v>
      </c>
      <c r="D6" s="2">
        <v>81.97</v>
      </c>
      <c r="E6" s="2">
        <f t="shared" ref="E6:E15" si="0">+C6*D6</f>
        <v>73773</v>
      </c>
      <c r="F6" s="2">
        <v>45000</v>
      </c>
    </row>
    <row r="7" spans="1:6" x14ac:dyDescent="0.25">
      <c r="A7" t="s">
        <v>11</v>
      </c>
      <c r="B7" t="s">
        <v>12</v>
      </c>
      <c r="C7" s="1">
        <v>800</v>
      </c>
      <c r="D7" s="2">
        <v>133.05000000000001</v>
      </c>
      <c r="E7" s="2">
        <f t="shared" si="0"/>
        <v>106440.00000000001</v>
      </c>
      <c r="F7" s="2">
        <v>40000</v>
      </c>
    </row>
    <row r="8" spans="1:6" x14ac:dyDescent="0.25">
      <c r="A8" t="s">
        <v>13</v>
      </c>
      <c r="B8" t="s">
        <v>14</v>
      </c>
      <c r="C8" s="1">
        <v>600</v>
      </c>
      <c r="D8" s="2">
        <v>146.44</v>
      </c>
      <c r="E8" s="2">
        <f t="shared" si="0"/>
        <v>87864</v>
      </c>
      <c r="F8" s="2">
        <v>50000</v>
      </c>
    </row>
    <row r="9" spans="1:6" x14ac:dyDescent="0.25">
      <c r="A9" t="s">
        <v>15</v>
      </c>
      <c r="B9" t="s">
        <v>16</v>
      </c>
      <c r="C9" s="1">
        <v>700</v>
      </c>
      <c r="D9" s="2">
        <v>127.86</v>
      </c>
      <c r="E9" s="2">
        <f t="shared" si="0"/>
        <v>89502</v>
      </c>
      <c r="F9" s="2">
        <v>60000</v>
      </c>
    </row>
    <row r="10" spans="1:6" x14ac:dyDescent="0.25">
      <c r="A10" t="s">
        <v>17</v>
      </c>
      <c r="B10" t="s">
        <v>18</v>
      </c>
      <c r="C10" s="1">
        <v>300</v>
      </c>
      <c r="D10" s="2">
        <v>306.94</v>
      </c>
      <c r="E10" s="2">
        <f t="shared" si="0"/>
        <v>92082</v>
      </c>
      <c r="F10" s="2">
        <v>55000</v>
      </c>
    </row>
    <row r="11" spans="1:6" x14ac:dyDescent="0.25">
      <c r="A11" t="s">
        <v>19</v>
      </c>
      <c r="B11" t="s">
        <v>20</v>
      </c>
      <c r="C11" s="1">
        <v>600</v>
      </c>
      <c r="D11" s="2">
        <v>98.95</v>
      </c>
      <c r="E11" s="2">
        <f t="shared" si="0"/>
        <v>59370</v>
      </c>
      <c r="F11" s="2">
        <v>30000</v>
      </c>
    </row>
    <row r="12" spans="1:6" x14ac:dyDescent="0.25">
      <c r="A12" t="s">
        <v>21</v>
      </c>
      <c r="B12" t="s">
        <v>22</v>
      </c>
      <c r="C12" s="1">
        <v>300</v>
      </c>
      <c r="D12" s="2">
        <v>418.07</v>
      </c>
      <c r="E12" s="2">
        <f t="shared" si="0"/>
        <v>125421</v>
      </c>
      <c r="F12" s="2">
        <v>70000</v>
      </c>
    </row>
    <row r="13" spans="1:6" x14ac:dyDescent="0.25">
      <c r="A13" t="s">
        <v>23</v>
      </c>
      <c r="B13" t="s">
        <v>24</v>
      </c>
      <c r="C13" s="1">
        <v>5800</v>
      </c>
      <c r="D13" s="2">
        <v>24.26</v>
      </c>
      <c r="E13" s="2">
        <f t="shared" si="0"/>
        <v>140708</v>
      </c>
      <c r="F13" s="2">
        <v>139000</v>
      </c>
    </row>
    <row r="14" spans="1:6" x14ac:dyDescent="0.25">
      <c r="A14" t="s">
        <v>25</v>
      </c>
      <c r="B14" t="s">
        <v>26</v>
      </c>
      <c r="C14" s="1">
        <v>1800</v>
      </c>
      <c r="D14" s="2">
        <v>74.010000000000005</v>
      </c>
      <c r="E14" s="2">
        <f t="shared" si="0"/>
        <v>133218</v>
      </c>
      <c r="F14" s="2">
        <v>128000</v>
      </c>
    </row>
    <row r="15" spans="1:6" x14ac:dyDescent="0.25">
      <c r="A15" t="s">
        <v>27</v>
      </c>
      <c r="B15" t="s">
        <v>28</v>
      </c>
      <c r="C15" s="1">
        <v>3450</v>
      </c>
      <c r="D15" s="2">
        <v>30.05</v>
      </c>
      <c r="E15" s="2">
        <f t="shared" si="0"/>
        <v>103672.5</v>
      </c>
      <c r="F15" s="2">
        <v>60000</v>
      </c>
    </row>
    <row r="16" spans="1:6" x14ac:dyDescent="0.25">
      <c r="F16" s="2"/>
    </row>
    <row r="17" spans="1:6" x14ac:dyDescent="0.25">
      <c r="A17" t="s">
        <v>29</v>
      </c>
      <c r="E17" s="2">
        <f>SUM(E6:E15)</f>
        <v>1012050.5</v>
      </c>
      <c r="F17" s="2">
        <f>SUM(F6:F15)</f>
        <v>677000</v>
      </c>
    </row>
    <row r="19" spans="1:6" x14ac:dyDescent="0.25">
      <c r="A19" s="3" t="s">
        <v>30</v>
      </c>
    </row>
    <row r="20" spans="1:6" x14ac:dyDescent="0.25">
      <c r="A20" s="3" t="s">
        <v>3</v>
      </c>
      <c r="B20" s="3" t="s">
        <v>4</v>
      </c>
      <c r="C20" s="4" t="s">
        <v>5</v>
      </c>
      <c r="D20" s="5" t="s">
        <v>6</v>
      </c>
      <c r="E20" s="5" t="s">
        <v>7</v>
      </c>
      <c r="F20" s="3" t="s">
        <v>8</v>
      </c>
    </row>
    <row r="21" spans="1:6" x14ac:dyDescent="0.25">
      <c r="A21" t="s">
        <v>31</v>
      </c>
      <c r="B21" t="s">
        <v>32</v>
      </c>
      <c r="C21" s="1">
        <v>22500</v>
      </c>
      <c r="D21" s="2">
        <v>15.11</v>
      </c>
      <c r="E21" s="2">
        <f>+C21*D21</f>
        <v>339975</v>
      </c>
      <c r="F21" s="2">
        <v>200000</v>
      </c>
    </row>
    <row r="22" spans="1:6" x14ac:dyDescent="0.25">
      <c r="A22" t="s">
        <v>33</v>
      </c>
      <c r="B22" t="s">
        <v>34</v>
      </c>
      <c r="C22" s="1">
        <v>18000</v>
      </c>
      <c r="D22" s="2">
        <v>25.24</v>
      </c>
      <c r="E22" s="2">
        <f>+C22*D22</f>
        <v>454320</v>
      </c>
      <c r="F22" s="2">
        <v>200000</v>
      </c>
    </row>
    <row r="23" spans="1:6" x14ac:dyDescent="0.25">
      <c r="A23" t="s">
        <v>35</v>
      </c>
      <c r="B23" t="s">
        <v>36</v>
      </c>
      <c r="C23" s="1">
        <v>41440</v>
      </c>
      <c r="D23" s="2">
        <v>9.7100000000000009</v>
      </c>
      <c r="E23" s="2">
        <f>+C23*D23</f>
        <v>402382.4</v>
      </c>
      <c r="F23" s="2">
        <v>380000</v>
      </c>
    </row>
    <row r="24" spans="1:6" x14ac:dyDescent="0.25">
      <c r="F24" s="2"/>
    </row>
    <row r="25" spans="1:6" x14ac:dyDescent="0.25">
      <c r="A25" t="s">
        <v>29</v>
      </c>
      <c r="E25" s="2">
        <f>SUM(E21:E23)</f>
        <v>1196677.3999999999</v>
      </c>
      <c r="F25" s="2">
        <f>SUM(F21:F23)</f>
        <v>780000</v>
      </c>
    </row>
    <row r="27" spans="1:6" x14ac:dyDescent="0.25">
      <c r="A27" s="3" t="s">
        <v>37</v>
      </c>
    </row>
    <row r="28" spans="1:6" x14ac:dyDescent="0.25">
      <c r="A28" s="3" t="s">
        <v>3</v>
      </c>
      <c r="B28" s="3" t="s">
        <v>4</v>
      </c>
      <c r="C28" s="4" t="s">
        <v>5</v>
      </c>
      <c r="D28" s="5" t="s">
        <v>6</v>
      </c>
      <c r="E28" s="5" t="s">
        <v>7</v>
      </c>
      <c r="F28" s="3" t="s">
        <v>8</v>
      </c>
    </row>
    <row r="29" spans="1:6" x14ac:dyDescent="0.25">
      <c r="A29" t="s">
        <v>31</v>
      </c>
      <c r="B29" t="s">
        <v>32</v>
      </c>
      <c r="C29" s="1">
        <v>10000</v>
      </c>
      <c r="D29" s="2">
        <v>15.11</v>
      </c>
      <c r="E29" s="2">
        <f>+C29*D29</f>
        <v>151100</v>
      </c>
      <c r="F29" s="2">
        <v>100000</v>
      </c>
    </row>
    <row r="30" spans="1:6" x14ac:dyDescent="0.25">
      <c r="A30" t="s">
        <v>33</v>
      </c>
      <c r="B30" t="s">
        <v>34</v>
      </c>
      <c r="C30" s="1">
        <v>8000</v>
      </c>
      <c r="D30" s="2">
        <v>25.24</v>
      </c>
      <c r="E30" s="2">
        <f>+C30*D30</f>
        <v>201920</v>
      </c>
      <c r="F30" s="2">
        <v>100000</v>
      </c>
    </row>
    <row r="31" spans="1:6" x14ac:dyDescent="0.25">
      <c r="A31" t="s">
        <v>35</v>
      </c>
      <c r="B31" t="s">
        <v>36</v>
      </c>
      <c r="C31" s="1">
        <v>19840</v>
      </c>
      <c r="D31" s="2">
        <v>9.7100000000000009</v>
      </c>
      <c r="E31" s="2">
        <f>+C31*D31</f>
        <v>192646.40000000002</v>
      </c>
      <c r="F31" s="2">
        <v>190000</v>
      </c>
    </row>
    <row r="32" spans="1:6" x14ac:dyDescent="0.25">
      <c r="F32" s="2"/>
    </row>
    <row r="33" spans="1:6" x14ac:dyDescent="0.25">
      <c r="A33" t="s">
        <v>29</v>
      </c>
      <c r="E33" s="2">
        <f>SUM(E29:E31)</f>
        <v>545666.4</v>
      </c>
      <c r="F33" s="2">
        <f>SUM(F29:F31)</f>
        <v>390000</v>
      </c>
    </row>
    <row r="35" spans="1:6" x14ac:dyDescent="0.25">
      <c r="A35" s="3" t="s">
        <v>38</v>
      </c>
    </row>
    <row r="36" spans="1:6" x14ac:dyDescent="0.25">
      <c r="A36" s="3" t="s">
        <v>3</v>
      </c>
      <c r="B36" s="3" t="s">
        <v>4</v>
      </c>
      <c r="C36" s="4" t="s">
        <v>5</v>
      </c>
      <c r="D36" s="5" t="s">
        <v>6</v>
      </c>
      <c r="E36" s="5" t="s">
        <v>7</v>
      </c>
      <c r="F36" s="3" t="s">
        <v>8</v>
      </c>
    </row>
    <row r="37" spans="1:6" x14ac:dyDescent="0.25">
      <c r="A37" t="s">
        <v>31</v>
      </c>
      <c r="B37" t="s">
        <v>32</v>
      </c>
      <c r="C37" s="1">
        <v>8715</v>
      </c>
      <c r="D37" s="2">
        <v>15.11</v>
      </c>
      <c r="E37" s="2">
        <f>+C37*D37</f>
        <v>131683.65</v>
      </c>
      <c r="F37" s="2">
        <v>100000</v>
      </c>
    </row>
    <row r="39" spans="1:6" x14ac:dyDescent="0.25">
      <c r="A39" s="3" t="s">
        <v>39</v>
      </c>
    </row>
    <row r="40" spans="1:6" x14ac:dyDescent="0.25">
      <c r="A40" s="3" t="s">
        <v>3</v>
      </c>
      <c r="B40" s="3" t="s">
        <v>4</v>
      </c>
      <c r="C40" s="4" t="s">
        <v>5</v>
      </c>
      <c r="D40" s="5" t="s">
        <v>6</v>
      </c>
      <c r="E40" s="5" t="s">
        <v>7</v>
      </c>
      <c r="F40" s="3" t="s">
        <v>8</v>
      </c>
    </row>
    <row r="41" spans="1:6" x14ac:dyDescent="0.25">
      <c r="A41" t="s">
        <v>31</v>
      </c>
      <c r="B41" t="s">
        <v>32</v>
      </c>
      <c r="C41" s="1">
        <v>5445</v>
      </c>
      <c r="D41" s="2">
        <v>15.11</v>
      </c>
      <c r="E41" s="2">
        <f>+C41*D41</f>
        <v>82273.95</v>
      </c>
      <c r="F41" s="2">
        <v>70000</v>
      </c>
    </row>
    <row r="46" spans="1:6" x14ac:dyDescent="0.25">
      <c r="E46" s="6"/>
    </row>
  </sheetData>
  <pageMargins left="0.7" right="0.7" top="0.75" bottom="0.75" header="0.511811023622047" footer="0.511811023622047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Robinson</dc:creator>
  <dc:description/>
  <cp:lastModifiedBy>Thomas Robinson</cp:lastModifiedBy>
  <cp:revision>0</cp:revision>
  <cp:lastPrinted>2026-04-22T20:13:27Z</cp:lastPrinted>
  <dcterms:created xsi:type="dcterms:W3CDTF">2025-04-15T16:59:53Z</dcterms:created>
  <dcterms:modified xsi:type="dcterms:W3CDTF">2026-04-22T20:23:01Z</dcterms:modified>
  <dc:language>en-US</dc:language>
</cp:coreProperties>
</file>