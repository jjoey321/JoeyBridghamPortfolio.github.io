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Joey\Downloads\"/>
    </mc:Choice>
  </mc:AlternateContent>
  <xr:revisionPtr revIDLastSave="0" documentId="13_ncr:1_{F3B5B899-2CF5-46F0-A5BE-732AD11AFA41}" xr6:coauthVersionLast="47" xr6:coauthVersionMax="47" xr10:uidLastSave="{00000000-0000-0000-0000-000000000000}"/>
  <bookViews>
    <workbookView xWindow="15570" yWindow="2235" windowWidth="24450" windowHeight="17970" activeTab="3" xr2:uid="{C0A9C8EE-B8BA-4986-9F41-59BCA72B9787}"/>
  </bookViews>
  <sheets>
    <sheet name="Call Option" sheetId="2" r:id="rId1"/>
    <sheet name="Historical data" sheetId="1" r:id="rId2"/>
    <sheet name="Binomial BOPM model" sheetId="3" r:id="rId3"/>
    <sheet name="Black Scholes Model" sheetId="4" r:id="rId4"/>
  </sheets>
  <definedNames>
    <definedName name="_xlnm._FilterDatabase" localSheetId="1" hidden="1">'Historical data'!$A$1:$D$1259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8" i="4" l="1"/>
  <c r="E79" i="4"/>
  <c r="E80" i="4"/>
  <c r="E81" i="4"/>
  <c r="E82" i="4"/>
  <c r="E83" i="4"/>
  <c r="E84" i="4"/>
  <c r="E85" i="4"/>
  <c r="E86" i="4"/>
  <c r="E87" i="4"/>
  <c r="E88" i="4"/>
  <c r="E89" i="4"/>
  <c r="E90" i="4"/>
  <c r="E91" i="4"/>
  <c r="E92" i="4"/>
  <c r="E93" i="4"/>
  <c r="E94" i="4"/>
  <c r="E95" i="4"/>
  <c r="E96" i="4"/>
  <c r="E97" i="4"/>
  <c r="E98" i="4"/>
  <c r="E99" i="4"/>
  <c r="E100" i="4"/>
  <c r="E101" i="4"/>
  <c r="E77" i="4"/>
  <c r="C49" i="4"/>
  <c r="C50" i="4" s="1"/>
  <c r="C51" i="4" s="1"/>
  <c r="C52" i="4" s="1"/>
  <c r="C53" i="4" s="1"/>
  <c r="C54" i="4" s="1"/>
  <c r="C55" i="4" s="1"/>
  <c r="C56" i="4" s="1"/>
  <c r="C57" i="4" s="1"/>
  <c r="C58" i="4" s="1"/>
  <c r="C59" i="4" s="1"/>
  <c r="C60" i="4" s="1"/>
  <c r="C61" i="4" s="1"/>
  <c r="C62" i="4" s="1"/>
  <c r="C63" i="4" s="1"/>
  <c r="C64" i="4" s="1"/>
  <c r="C65" i="4" s="1"/>
  <c r="C66" i="4" s="1"/>
  <c r="C67" i="4" s="1"/>
  <c r="C68" i="4" s="1"/>
  <c r="C69" i="4" s="1"/>
  <c r="C70" i="4" s="1"/>
  <c r="C71" i="4" s="1"/>
  <c r="C8" i="4"/>
  <c r="C6" i="4"/>
  <c r="C5" i="4"/>
  <c r="C4" i="4"/>
  <c r="C13" i="3"/>
  <c r="D19" i="3"/>
  <c r="C9" i="3"/>
  <c r="C3" i="1"/>
  <c r="D3" i="1" s="1" a="1"/>
  <c r="D3" i="1" s="1"/>
  <c r="C4" i="1"/>
  <c r="C5" i="1"/>
  <c r="D5" i="1" s="1" a="1"/>
  <c r="D5" i="1" s="1"/>
  <c r="C6" i="1"/>
  <c r="D6" i="1" s="1" a="1"/>
  <c r="D6" i="1" s="1"/>
  <c r="C7" i="1"/>
  <c r="D7" i="1" s="1" a="1"/>
  <c r="D7" i="1" s="1"/>
  <c r="C8" i="1"/>
  <c r="D8" i="1" s="1" a="1"/>
  <c r="D8" i="1" s="1"/>
  <c r="C9" i="1"/>
  <c r="C10" i="1"/>
  <c r="D10" i="1" s="1" a="1"/>
  <c r="D10" i="1" s="1"/>
  <c r="C11" i="1"/>
  <c r="D11" i="1" s="1" a="1"/>
  <c r="D11" i="1" s="1"/>
  <c r="C12" i="1"/>
  <c r="D12" i="1" s="1" a="1"/>
  <c r="D12" i="1" s="1"/>
  <c r="C13" i="1"/>
  <c r="D13" i="1" s="1" a="1"/>
  <c r="D13" i="1" s="1"/>
  <c r="C14" i="1"/>
  <c r="C15" i="1"/>
  <c r="D15" i="1" s="1" a="1"/>
  <c r="D15" i="1" s="1"/>
  <c r="C16" i="1"/>
  <c r="D16" i="1" s="1" a="1"/>
  <c r="D16" i="1" s="1"/>
  <c r="C17" i="1"/>
  <c r="D17" i="1" s="1" a="1"/>
  <c r="D17" i="1" s="1"/>
  <c r="C18" i="1"/>
  <c r="D18" i="1" s="1" a="1"/>
  <c r="D18" i="1" s="1"/>
  <c r="C19" i="1"/>
  <c r="C20" i="1"/>
  <c r="D20" i="1" s="1" a="1"/>
  <c r="D20" i="1" s="1"/>
  <c r="C21" i="1"/>
  <c r="D21" i="1" s="1" a="1"/>
  <c r="D21" i="1" s="1"/>
  <c r="C22" i="1"/>
  <c r="D22" i="1" s="1" a="1"/>
  <c r="D22" i="1" s="1"/>
  <c r="C23" i="1"/>
  <c r="C24" i="1"/>
  <c r="D24" i="1" s="1" a="1"/>
  <c r="D24" i="1" s="1"/>
  <c r="C25" i="1"/>
  <c r="D25" i="1" s="1" a="1"/>
  <c r="D25" i="1" s="1"/>
  <c r="C26" i="1"/>
  <c r="D26" i="1" s="1" a="1"/>
  <c r="D26" i="1" s="1"/>
  <c r="C27" i="1"/>
  <c r="C28" i="1"/>
  <c r="D28" i="1" s="1" a="1"/>
  <c r="D28" i="1" s="1"/>
  <c r="C29" i="1"/>
  <c r="D29" i="1" s="1" a="1"/>
  <c r="D29" i="1" s="1"/>
  <c r="C30" i="1"/>
  <c r="D30" i="1" s="1" a="1"/>
  <c r="D30" i="1" s="1"/>
  <c r="C31" i="1"/>
  <c r="D31" i="1" s="1" a="1"/>
  <c r="D31" i="1" s="1"/>
  <c r="C32" i="1"/>
  <c r="C33" i="1"/>
  <c r="D33" i="1" s="1" a="1"/>
  <c r="D33" i="1" s="1"/>
  <c r="C34" i="1"/>
  <c r="D34" i="1" s="1" a="1"/>
  <c r="D34" i="1" s="1"/>
  <c r="C35" i="1"/>
  <c r="D35" i="1" s="1" a="1"/>
  <c r="D35" i="1" s="1"/>
  <c r="C36" i="1"/>
  <c r="D36" i="1" s="1" a="1"/>
  <c r="D36" i="1" s="1"/>
  <c r="C37" i="1"/>
  <c r="C38" i="1"/>
  <c r="D38" i="1" s="1" a="1"/>
  <c r="D38" i="1" s="1"/>
  <c r="C39" i="1"/>
  <c r="D39" i="1" s="1" a="1"/>
  <c r="D39" i="1" s="1"/>
  <c r="C40" i="1"/>
  <c r="D40" i="1" s="1" a="1"/>
  <c r="D40" i="1" s="1"/>
  <c r="C41" i="1"/>
  <c r="C42" i="1"/>
  <c r="D42" i="1" s="1" a="1"/>
  <c r="D42" i="1" s="1"/>
  <c r="C43" i="1"/>
  <c r="C44" i="1"/>
  <c r="D44" i="1" s="1" a="1"/>
  <c r="D44" i="1" s="1"/>
  <c r="C45" i="1"/>
  <c r="D45" i="1" s="1" a="1"/>
  <c r="D45" i="1" s="1"/>
  <c r="C46" i="1"/>
  <c r="C47" i="1"/>
  <c r="D47" i="1" s="1" a="1"/>
  <c r="D47" i="1" s="1"/>
  <c r="C48" i="1"/>
  <c r="D48" i="1" s="1" a="1"/>
  <c r="D48" i="1" s="1"/>
  <c r="C49" i="1"/>
  <c r="D49" i="1" s="1" a="1"/>
  <c r="D49" i="1" s="1"/>
  <c r="C50" i="1"/>
  <c r="D50" i="1" s="1" a="1"/>
  <c r="D50" i="1" s="1"/>
  <c r="C51" i="1"/>
  <c r="C52" i="1"/>
  <c r="D52" i="1" s="1" a="1"/>
  <c r="D52" i="1" s="1"/>
  <c r="C53" i="1"/>
  <c r="D53" i="1" s="1" a="1"/>
  <c r="D53" i="1" s="1"/>
  <c r="C54" i="1"/>
  <c r="D54" i="1" s="1" a="1"/>
  <c r="D54" i="1" s="1"/>
  <c r="C55" i="1"/>
  <c r="C56" i="1"/>
  <c r="C57" i="1"/>
  <c r="D57" i="1" s="1" a="1"/>
  <c r="D57" i="1" s="1"/>
  <c r="C58" i="1"/>
  <c r="D58" i="1" s="1" a="1"/>
  <c r="D58" i="1" s="1"/>
  <c r="C59" i="1"/>
  <c r="D59" i="1" s="1" a="1"/>
  <c r="D59" i="1" s="1"/>
  <c r="C60" i="1"/>
  <c r="C61" i="1"/>
  <c r="D61" i="1" s="1" a="1"/>
  <c r="D61" i="1" s="1"/>
  <c r="C62" i="1"/>
  <c r="D62" i="1" s="1" a="1"/>
  <c r="D62" i="1" s="1"/>
  <c r="C63" i="1"/>
  <c r="D63" i="1" s="1" a="1"/>
  <c r="D63" i="1" s="1"/>
  <c r="C64" i="1"/>
  <c r="D64" i="1" s="1" a="1"/>
  <c r="D64" i="1" s="1"/>
  <c r="C65" i="1"/>
  <c r="C66" i="1"/>
  <c r="D66" i="1" s="1" a="1"/>
  <c r="D66" i="1" s="1"/>
  <c r="C67" i="1"/>
  <c r="D67" i="1" s="1" a="1"/>
  <c r="D67" i="1" s="1"/>
  <c r="C68" i="1"/>
  <c r="D68" i="1" s="1" a="1"/>
  <c r="D68" i="1" s="1"/>
  <c r="C69" i="1"/>
  <c r="D69" i="1" s="1" a="1"/>
  <c r="D69" i="1" s="1"/>
  <c r="C70" i="1"/>
  <c r="C71" i="1"/>
  <c r="D71" i="1" s="1" a="1"/>
  <c r="D71" i="1" s="1"/>
  <c r="C72" i="1"/>
  <c r="D72" i="1" s="1" a="1"/>
  <c r="D72" i="1" s="1"/>
  <c r="C73" i="1"/>
  <c r="D73" i="1" s="1" a="1"/>
  <c r="D73" i="1" s="1"/>
  <c r="C74" i="1"/>
  <c r="D74" i="1" s="1" a="1"/>
  <c r="D74" i="1" s="1"/>
  <c r="C75" i="1"/>
  <c r="C76" i="1"/>
  <c r="D76" i="1" s="1" a="1"/>
  <c r="D76" i="1" s="1"/>
  <c r="C77" i="1"/>
  <c r="D77" i="1" s="1" a="1"/>
  <c r="D77" i="1" s="1"/>
  <c r="C78" i="1"/>
  <c r="D78" i="1" s="1" a="1"/>
  <c r="D78" i="1" s="1"/>
  <c r="C79" i="1"/>
  <c r="C80" i="1"/>
  <c r="C81" i="1"/>
  <c r="D81" i="1" s="1" a="1"/>
  <c r="D81" i="1" s="1"/>
  <c r="C82" i="1"/>
  <c r="D82" i="1" s="1" a="1"/>
  <c r="D82" i="1" s="1"/>
  <c r="C83" i="1"/>
  <c r="D83" i="1" s="1" a="1"/>
  <c r="D83" i="1" s="1"/>
  <c r="C84" i="1"/>
  <c r="D84" i="1" s="1" a="1"/>
  <c r="D84" i="1" s="1"/>
  <c r="C85" i="1"/>
  <c r="C86" i="1"/>
  <c r="D86" i="1" s="1" a="1"/>
  <c r="D86" i="1" s="1"/>
  <c r="C87" i="1"/>
  <c r="D87" i="1" s="1" a="1"/>
  <c r="D87" i="1" s="1"/>
  <c r="C88" i="1"/>
  <c r="D88" i="1" s="1" a="1"/>
  <c r="D88" i="1" s="1"/>
  <c r="C89" i="1"/>
  <c r="C90" i="1"/>
  <c r="D90" i="1" s="1" a="1"/>
  <c r="D90" i="1" s="1"/>
  <c r="C91" i="1"/>
  <c r="D91" i="1" s="1" a="1"/>
  <c r="D91" i="1" s="1"/>
  <c r="C92" i="1"/>
  <c r="D92" i="1" s="1" a="1"/>
  <c r="D92" i="1" s="1"/>
  <c r="C93" i="1"/>
  <c r="D93" i="1" s="1" a="1"/>
  <c r="D93" i="1" s="1"/>
  <c r="C94" i="1"/>
  <c r="C95" i="1"/>
  <c r="D95" i="1" s="1" a="1"/>
  <c r="D95" i="1" s="1"/>
  <c r="C96" i="1"/>
  <c r="D96" i="1" s="1" a="1"/>
  <c r="D96" i="1" s="1"/>
  <c r="C97" i="1"/>
  <c r="D97" i="1" s="1" a="1"/>
  <c r="D97" i="1" s="1"/>
  <c r="C98" i="1"/>
  <c r="D98" i="1" s="1" a="1"/>
  <c r="D98" i="1" s="1"/>
  <c r="C99" i="1"/>
  <c r="C100" i="1"/>
  <c r="D100" i="1" s="1" a="1"/>
  <c r="D100" i="1" s="1"/>
  <c r="C101" i="1"/>
  <c r="D101" i="1" s="1" a="1"/>
  <c r="D101" i="1" s="1"/>
  <c r="C102" i="1"/>
  <c r="D102" i="1" s="1" a="1"/>
  <c r="D102" i="1" s="1"/>
  <c r="C103" i="1"/>
  <c r="D103" i="1" s="1" a="1"/>
  <c r="D103" i="1" s="1"/>
  <c r="C104" i="1"/>
  <c r="C105" i="1"/>
  <c r="D105" i="1" s="1" a="1"/>
  <c r="D105" i="1" s="1"/>
  <c r="C106" i="1"/>
  <c r="D106" i="1" s="1" a="1"/>
  <c r="D106" i="1" s="1"/>
  <c r="C107" i="1"/>
  <c r="D107" i="1" s="1" a="1"/>
  <c r="D107" i="1" s="1"/>
  <c r="C108" i="1"/>
  <c r="D108" i="1" s="1" a="1"/>
  <c r="D108" i="1" s="1"/>
  <c r="C109" i="1"/>
  <c r="C110" i="1"/>
  <c r="D110" i="1" s="1" a="1"/>
  <c r="D110" i="1" s="1"/>
  <c r="C111" i="1"/>
  <c r="D111" i="1" s="1" a="1"/>
  <c r="D111" i="1" s="1"/>
  <c r="C112" i="1"/>
  <c r="D112" i="1" s="1" a="1"/>
  <c r="D112" i="1" s="1"/>
  <c r="C113" i="1"/>
  <c r="D113" i="1" s="1" a="1"/>
  <c r="D113" i="1" s="1"/>
  <c r="C114" i="1"/>
  <c r="C115" i="1"/>
  <c r="D115" i="1" s="1" a="1"/>
  <c r="D115" i="1" s="1"/>
  <c r="C116" i="1"/>
  <c r="D116" i="1" s="1" a="1"/>
  <c r="D116" i="1" s="1"/>
  <c r="C117" i="1"/>
  <c r="D117" i="1" s="1" a="1"/>
  <c r="D117" i="1" s="1"/>
  <c r="C118" i="1"/>
  <c r="D118" i="1" s="1" a="1"/>
  <c r="D118" i="1" s="1"/>
  <c r="C119" i="1"/>
  <c r="C120" i="1"/>
  <c r="D120" i="1" s="1" a="1"/>
  <c r="D120" i="1" s="1"/>
  <c r="C121" i="1"/>
  <c r="D121" i="1" s="1" a="1"/>
  <c r="D121" i="1" s="1"/>
  <c r="C122" i="1"/>
  <c r="D122" i="1" s="1" a="1"/>
  <c r="D122" i="1" s="1"/>
  <c r="C123" i="1"/>
  <c r="D123" i="1" s="1" a="1"/>
  <c r="D123" i="1" s="1"/>
  <c r="C124" i="1"/>
  <c r="C125" i="1"/>
  <c r="D125" i="1" s="1" a="1"/>
  <c r="D125" i="1" s="1"/>
  <c r="C126" i="1"/>
  <c r="D126" i="1" s="1" a="1"/>
  <c r="D126" i="1" s="1"/>
  <c r="C127" i="1"/>
  <c r="D127" i="1" s="1" a="1"/>
  <c r="D127" i="1" s="1"/>
  <c r="C128" i="1"/>
  <c r="D128" i="1" s="1" a="1"/>
  <c r="D128" i="1" s="1"/>
  <c r="C129" i="1"/>
  <c r="C130" i="1"/>
  <c r="D130" i="1" s="1" a="1"/>
  <c r="D130" i="1" s="1"/>
  <c r="C131" i="1"/>
  <c r="D131" i="1" s="1" a="1"/>
  <c r="D131" i="1" s="1"/>
  <c r="C132" i="1"/>
  <c r="D132" i="1" s="1" a="1"/>
  <c r="D132" i="1" s="1"/>
  <c r="C133" i="1"/>
  <c r="C134" i="1"/>
  <c r="D134" i="1" s="1" a="1"/>
  <c r="D134" i="1" s="1"/>
  <c r="C135" i="1"/>
  <c r="D135" i="1" s="1" a="1"/>
  <c r="D135" i="1" s="1"/>
  <c r="C136" i="1"/>
  <c r="D136" i="1" s="1" a="1"/>
  <c r="D136" i="1" s="1"/>
  <c r="C137" i="1"/>
  <c r="D137" i="1" s="1" a="1"/>
  <c r="D137" i="1" s="1"/>
  <c r="C138" i="1"/>
  <c r="C139" i="1"/>
  <c r="D139" i="1" s="1" a="1"/>
  <c r="D139" i="1" s="1"/>
  <c r="C140" i="1"/>
  <c r="D140" i="1" s="1" a="1"/>
  <c r="D140" i="1" s="1"/>
  <c r="C141" i="1"/>
  <c r="D141" i="1" s="1" a="1"/>
  <c r="D141" i="1" s="1"/>
  <c r="C142" i="1"/>
  <c r="D142" i="1" s="1" a="1"/>
  <c r="D142" i="1" s="1"/>
  <c r="C143" i="1"/>
  <c r="C144" i="1"/>
  <c r="D144" i="1" s="1" a="1"/>
  <c r="D144" i="1" s="1"/>
  <c r="C145" i="1"/>
  <c r="D145" i="1" s="1" a="1"/>
  <c r="D145" i="1" s="1"/>
  <c r="C146" i="1"/>
  <c r="D146" i="1" s="1" a="1"/>
  <c r="D146" i="1" s="1"/>
  <c r="C147" i="1"/>
  <c r="D147" i="1" s="1" a="1"/>
  <c r="D147" i="1" s="1"/>
  <c r="C148" i="1"/>
  <c r="C149" i="1"/>
  <c r="D149" i="1" s="1" a="1"/>
  <c r="D149" i="1" s="1"/>
  <c r="C150" i="1"/>
  <c r="D150" i="1" s="1" a="1"/>
  <c r="D150" i="1" s="1"/>
  <c r="C151" i="1"/>
  <c r="D151" i="1" s="1" a="1"/>
  <c r="D151" i="1" s="1"/>
  <c r="C152" i="1"/>
  <c r="D152" i="1" s="1" a="1"/>
  <c r="D152" i="1" s="1"/>
  <c r="C153" i="1"/>
  <c r="C154" i="1"/>
  <c r="D154" i="1" s="1" a="1"/>
  <c r="D154" i="1" s="1"/>
  <c r="C155" i="1"/>
  <c r="D155" i="1" s="1" a="1"/>
  <c r="D155" i="1" s="1"/>
  <c r="C156" i="1"/>
  <c r="D156" i="1" s="1" a="1"/>
  <c r="D156" i="1" s="1"/>
  <c r="C157" i="1"/>
  <c r="C158" i="1"/>
  <c r="D158" i="1" s="1" a="1"/>
  <c r="D158" i="1" s="1"/>
  <c r="C159" i="1"/>
  <c r="D159" i="1" s="1" a="1"/>
  <c r="D159" i="1" s="1"/>
  <c r="C160" i="1"/>
  <c r="D160" i="1" s="1" a="1"/>
  <c r="D160" i="1" s="1"/>
  <c r="C161" i="1"/>
  <c r="D161" i="1" s="1" a="1"/>
  <c r="D161" i="1" s="1"/>
  <c r="C162" i="1"/>
  <c r="C163" i="1"/>
  <c r="D163" i="1" s="1" a="1"/>
  <c r="D163" i="1" s="1"/>
  <c r="C164" i="1"/>
  <c r="D164" i="1" s="1" a="1"/>
  <c r="D164" i="1" s="1"/>
  <c r="C165" i="1"/>
  <c r="D165" i="1" s="1" a="1"/>
  <c r="D165" i="1" s="1"/>
  <c r="C166" i="1"/>
  <c r="D166" i="1" s="1" a="1"/>
  <c r="D166" i="1" s="1"/>
  <c r="C167" i="1"/>
  <c r="C168" i="1"/>
  <c r="D168" i="1" s="1" a="1"/>
  <c r="D168" i="1" s="1"/>
  <c r="C169" i="1"/>
  <c r="D169" i="1" s="1" a="1"/>
  <c r="D169" i="1" s="1"/>
  <c r="C170" i="1"/>
  <c r="D170" i="1" s="1" a="1"/>
  <c r="D170" i="1" s="1"/>
  <c r="C171" i="1"/>
  <c r="D171" i="1" s="1" a="1"/>
  <c r="D171" i="1" s="1"/>
  <c r="C172" i="1"/>
  <c r="C173" i="1"/>
  <c r="D173" i="1" s="1" a="1"/>
  <c r="D173" i="1" s="1"/>
  <c r="C174" i="1"/>
  <c r="D174" i="1" s="1" a="1"/>
  <c r="D174" i="1" s="1"/>
  <c r="C175" i="1"/>
  <c r="D175" i="1" s="1" a="1"/>
  <c r="D175" i="1" s="1"/>
  <c r="C176" i="1"/>
  <c r="D176" i="1" s="1" a="1"/>
  <c r="D176" i="1" s="1"/>
  <c r="C177" i="1"/>
  <c r="C178" i="1"/>
  <c r="D178" i="1" s="1" a="1"/>
  <c r="D178" i="1" s="1"/>
  <c r="C179" i="1"/>
  <c r="C180" i="1"/>
  <c r="D180" i="1" s="1" a="1"/>
  <c r="D180" i="1" s="1"/>
  <c r="C181" i="1"/>
  <c r="D181" i="1" s="1" a="1"/>
  <c r="D181" i="1" s="1"/>
  <c r="C182" i="1"/>
  <c r="C183" i="1"/>
  <c r="D183" i="1" s="1" a="1"/>
  <c r="D183" i="1" s="1"/>
  <c r="C184" i="1"/>
  <c r="D184" i="1" s="1" a="1"/>
  <c r="D184" i="1" s="1"/>
  <c r="C185" i="1"/>
  <c r="D185" i="1" s="1" a="1"/>
  <c r="D185" i="1" s="1"/>
  <c r="C186" i="1"/>
  <c r="D186" i="1" s="1" a="1"/>
  <c r="D186" i="1" s="1"/>
  <c r="C187" i="1"/>
  <c r="C188" i="1"/>
  <c r="D188" i="1" s="1" a="1"/>
  <c r="D188" i="1" s="1"/>
  <c r="C189" i="1"/>
  <c r="D189" i="1" s="1" a="1"/>
  <c r="D189" i="1" s="1"/>
  <c r="C190" i="1"/>
  <c r="D190" i="1" s="1" a="1"/>
  <c r="D190" i="1" s="1"/>
  <c r="C191" i="1"/>
  <c r="D191" i="1" s="1" a="1"/>
  <c r="D191" i="1" s="1"/>
  <c r="C192" i="1"/>
  <c r="C193" i="1"/>
  <c r="D193" i="1" s="1" a="1"/>
  <c r="D193" i="1" s="1"/>
  <c r="C194" i="1"/>
  <c r="D194" i="1" s="1" a="1"/>
  <c r="D194" i="1" s="1"/>
  <c r="C195" i="1"/>
  <c r="D195" i="1" s="1" a="1"/>
  <c r="D195" i="1" s="1"/>
  <c r="C196" i="1"/>
  <c r="D196" i="1" s="1" a="1"/>
  <c r="D196" i="1" s="1"/>
  <c r="C197" i="1"/>
  <c r="C198" i="1"/>
  <c r="D198" i="1" s="1" a="1"/>
  <c r="D198" i="1" s="1"/>
  <c r="C199" i="1"/>
  <c r="C200" i="1"/>
  <c r="D200" i="1" s="1" a="1"/>
  <c r="D200" i="1" s="1"/>
  <c r="C201" i="1"/>
  <c r="C202" i="1"/>
  <c r="D202" i="1" s="1" a="1"/>
  <c r="D202" i="1" s="1"/>
  <c r="C203" i="1"/>
  <c r="D203" i="1" s="1" a="1"/>
  <c r="D203" i="1" s="1"/>
  <c r="C204" i="1"/>
  <c r="D204" i="1" s="1" a="1"/>
  <c r="D204" i="1" s="1"/>
  <c r="C205" i="1"/>
  <c r="D205" i="1" s="1" a="1"/>
  <c r="D205" i="1" s="1"/>
  <c r="C206" i="1"/>
  <c r="C207" i="1"/>
  <c r="D207" i="1" s="1" a="1"/>
  <c r="D207" i="1" s="1"/>
  <c r="C208" i="1"/>
  <c r="D208" i="1" s="1" a="1"/>
  <c r="D208" i="1" s="1"/>
  <c r="C209" i="1"/>
  <c r="D209" i="1" s="1" a="1"/>
  <c r="D209" i="1" s="1"/>
  <c r="C210" i="1"/>
  <c r="D210" i="1" s="1" a="1"/>
  <c r="D210" i="1" s="1"/>
  <c r="C211" i="1"/>
  <c r="C212" i="1"/>
  <c r="D212" i="1" s="1" a="1"/>
  <c r="D212" i="1" s="1"/>
  <c r="C213" i="1"/>
  <c r="D213" i="1" s="1" a="1"/>
  <c r="D213" i="1" s="1"/>
  <c r="C214" i="1"/>
  <c r="D214" i="1" s="1" a="1"/>
  <c r="D214" i="1" s="1"/>
  <c r="C215" i="1"/>
  <c r="D215" i="1" s="1" a="1"/>
  <c r="D215" i="1" s="1"/>
  <c r="C216" i="1"/>
  <c r="C217" i="1"/>
  <c r="D217" i="1" s="1" a="1"/>
  <c r="D217" i="1" s="1"/>
  <c r="C218" i="1"/>
  <c r="D218" i="1" s="1" a="1"/>
  <c r="D218" i="1" s="1"/>
  <c r="C219" i="1"/>
  <c r="D219" i="1" s="1" a="1"/>
  <c r="D219" i="1" s="1"/>
  <c r="C220" i="1"/>
  <c r="D220" i="1" s="1" a="1"/>
  <c r="D220" i="1" s="1"/>
  <c r="C221" i="1"/>
  <c r="C222" i="1"/>
  <c r="D222" i="1" s="1" a="1"/>
  <c r="D222" i="1" s="1"/>
  <c r="C223" i="1"/>
  <c r="D223" i="1" s="1" a="1"/>
  <c r="D223" i="1" s="1"/>
  <c r="C224" i="1"/>
  <c r="D224" i="1" s="1" a="1"/>
  <c r="D224" i="1" s="1"/>
  <c r="C225" i="1"/>
  <c r="D225" i="1" s="1" a="1"/>
  <c r="D225" i="1" s="1"/>
  <c r="C226" i="1"/>
  <c r="C227" i="1"/>
  <c r="D227" i="1" s="1" a="1"/>
  <c r="D227" i="1" s="1"/>
  <c r="C228" i="1"/>
  <c r="D228" i="1" s="1" a="1"/>
  <c r="D228" i="1" s="1"/>
  <c r="C229" i="1"/>
  <c r="D229" i="1" s="1" a="1"/>
  <c r="D229" i="1" s="1"/>
  <c r="C230" i="1"/>
  <c r="D230" i="1" s="1" a="1"/>
  <c r="D230" i="1" s="1"/>
  <c r="C231" i="1"/>
  <c r="C232" i="1"/>
  <c r="D232" i="1" s="1" a="1"/>
  <c r="D232" i="1" s="1"/>
  <c r="C233" i="1"/>
  <c r="D233" i="1" s="1" a="1"/>
  <c r="D233" i="1" s="1"/>
  <c r="C234" i="1"/>
  <c r="D234" i="1" s="1" a="1"/>
  <c r="D234" i="1" s="1"/>
  <c r="C235" i="1"/>
  <c r="D235" i="1" s="1" a="1"/>
  <c r="D235" i="1" s="1"/>
  <c r="C236" i="1"/>
  <c r="C237" i="1"/>
  <c r="D237" i="1" s="1" a="1"/>
  <c r="D237" i="1" s="1"/>
  <c r="C238" i="1"/>
  <c r="D238" i="1" s="1" a="1"/>
  <c r="D238" i="1" s="1"/>
  <c r="C239" i="1"/>
  <c r="D239" i="1" s="1" a="1"/>
  <c r="D239" i="1" s="1"/>
  <c r="C240" i="1"/>
  <c r="D240" i="1" s="1" a="1"/>
  <c r="D240" i="1" s="1"/>
  <c r="C241" i="1"/>
  <c r="C242" i="1"/>
  <c r="D242" i="1" s="1" a="1"/>
  <c r="D242" i="1" s="1"/>
  <c r="C243" i="1"/>
  <c r="D243" i="1" s="1" a="1"/>
  <c r="D243" i="1" s="1"/>
  <c r="C244" i="1"/>
  <c r="D244" i="1" s="1" a="1"/>
  <c r="D244" i="1" s="1"/>
  <c r="C245" i="1"/>
  <c r="D245" i="1" s="1" a="1"/>
  <c r="D245" i="1" s="1"/>
  <c r="C246" i="1"/>
  <c r="C247" i="1"/>
  <c r="D247" i="1" s="1" a="1"/>
  <c r="D247" i="1" s="1"/>
  <c r="C248" i="1"/>
  <c r="D248" i="1" s="1" a="1"/>
  <c r="D248" i="1" s="1"/>
  <c r="C249" i="1"/>
  <c r="D249" i="1" s="1" a="1"/>
  <c r="D249" i="1" s="1"/>
  <c r="C250" i="1"/>
  <c r="D250" i="1" s="1" a="1"/>
  <c r="D250" i="1" s="1"/>
  <c r="C251" i="1"/>
  <c r="C252" i="1"/>
  <c r="D252" i="1" s="1" a="1"/>
  <c r="D252" i="1" s="1"/>
  <c r="C253" i="1"/>
  <c r="D253" i="1" s="1" a="1"/>
  <c r="D253" i="1" s="1"/>
  <c r="C254" i="1"/>
  <c r="D254" i="1" s="1" a="1"/>
  <c r="D254" i="1" s="1"/>
  <c r="C255" i="1"/>
  <c r="C256" i="1"/>
  <c r="D256" i="1" s="1" a="1"/>
  <c r="D256" i="1" s="1"/>
  <c r="C257" i="1"/>
  <c r="D257" i="1" s="1" a="1"/>
  <c r="D257" i="1" s="1"/>
  <c r="C258" i="1"/>
  <c r="D258" i="1" s="1" a="1"/>
  <c r="D258" i="1" s="1"/>
  <c r="C259" i="1"/>
  <c r="D259" i="1" s="1" a="1"/>
  <c r="D259" i="1" s="1"/>
  <c r="C260" i="1"/>
  <c r="C261" i="1"/>
  <c r="D261" i="1" s="1" a="1"/>
  <c r="D261" i="1" s="1"/>
  <c r="C262" i="1"/>
  <c r="D262" i="1" s="1" a="1"/>
  <c r="D262" i="1" s="1"/>
  <c r="C263" i="1"/>
  <c r="D263" i="1" s="1" a="1"/>
  <c r="D263" i="1" s="1"/>
  <c r="C264" i="1"/>
  <c r="D264" i="1" s="1" a="1"/>
  <c r="D264" i="1" s="1"/>
  <c r="C265" i="1"/>
  <c r="C266" i="1"/>
  <c r="D266" i="1" s="1" a="1"/>
  <c r="D266" i="1" s="1"/>
  <c r="C267" i="1"/>
  <c r="D267" i="1" s="1" a="1"/>
  <c r="D267" i="1" s="1"/>
  <c r="C268" i="1"/>
  <c r="D268" i="1" s="1" a="1"/>
  <c r="D268" i="1" s="1"/>
  <c r="C269" i="1"/>
  <c r="D269" i="1" s="1" a="1"/>
  <c r="D269" i="1" s="1"/>
  <c r="C270" i="1"/>
  <c r="C271" i="1"/>
  <c r="D271" i="1" s="1" a="1"/>
  <c r="D271" i="1" s="1"/>
  <c r="C272" i="1"/>
  <c r="D272" i="1" s="1" a="1"/>
  <c r="D272" i="1" s="1"/>
  <c r="C273" i="1"/>
  <c r="D273" i="1" s="1" a="1"/>
  <c r="D273" i="1" s="1"/>
  <c r="C274" i="1"/>
  <c r="C275" i="1"/>
  <c r="D275" i="1" s="1" a="1"/>
  <c r="D275" i="1" s="1"/>
  <c r="C276" i="1"/>
  <c r="D276" i="1" s="1" a="1"/>
  <c r="D276" i="1" s="1"/>
  <c r="C277" i="1"/>
  <c r="D277" i="1" s="1" a="1"/>
  <c r="D277" i="1" s="1"/>
  <c r="C278" i="1"/>
  <c r="D278" i="1" s="1" a="1"/>
  <c r="D278" i="1" s="1"/>
  <c r="C279" i="1"/>
  <c r="C280" i="1"/>
  <c r="D280" i="1" s="1" a="1"/>
  <c r="D280" i="1" s="1"/>
  <c r="C281" i="1"/>
  <c r="D281" i="1" s="1" a="1"/>
  <c r="D281" i="1" s="1"/>
  <c r="C282" i="1"/>
  <c r="D282" i="1" s="1" a="1"/>
  <c r="D282" i="1" s="1"/>
  <c r="C283" i="1"/>
  <c r="D283" i="1" s="1" a="1"/>
  <c r="D283" i="1" s="1"/>
  <c r="C284" i="1"/>
  <c r="C285" i="1"/>
  <c r="D285" i="1" s="1" a="1"/>
  <c r="D285" i="1" s="1"/>
  <c r="C286" i="1"/>
  <c r="D286" i="1" s="1" a="1"/>
  <c r="D286" i="1" s="1"/>
  <c r="C287" i="1"/>
  <c r="D287" i="1" s="1" a="1"/>
  <c r="D287" i="1" s="1"/>
  <c r="C288" i="1"/>
  <c r="D288" i="1" s="1" a="1"/>
  <c r="D288" i="1" s="1"/>
  <c r="C289" i="1"/>
  <c r="C290" i="1"/>
  <c r="D290" i="1" s="1" a="1"/>
  <c r="D290" i="1" s="1"/>
  <c r="C291" i="1"/>
  <c r="D291" i="1" s="1" a="1"/>
  <c r="D291" i="1" s="1"/>
  <c r="C292" i="1"/>
  <c r="D292" i="1" s="1" a="1"/>
  <c r="D292" i="1" s="1"/>
  <c r="C293" i="1"/>
  <c r="C294" i="1"/>
  <c r="D294" i="1" s="1" a="1"/>
  <c r="D294" i="1" s="1"/>
  <c r="C295" i="1"/>
  <c r="D295" i="1" s="1" a="1"/>
  <c r="D295" i="1" s="1"/>
  <c r="C296" i="1"/>
  <c r="D296" i="1" s="1" a="1"/>
  <c r="D296" i="1" s="1"/>
  <c r="C297" i="1"/>
  <c r="D297" i="1" s="1" a="1"/>
  <c r="D297" i="1" s="1"/>
  <c r="C298" i="1"/>
  <c r="C299" i="1"/>
  <c r="D299" i="1" s="1" a="1"/>
  <c r="D299" i="1" s="1"/>
  <c r="C300" i="1"/>
  <c r="D300" i="1" s="1" a="1"/>
  <c r="D300" i="1" s="1"/>
  <c r="C301" i="1"/>
  <c r="D301" i="1" s="1" a="1"/>
  <c r="D301" i="1" s="1"/>
  <c r="C302" i="1"/>
  <c r="D302" i="1" s="1" a="1"/>
  <c r="D302" i="1" s="1"/>
  <c r="C303" i="1"/>
  <c r="C304" i="1"/>
  <c r="D304" i="1" s="1" a="1"/>
  <c r="D304" i="1" s="1"/>
  <c r="C305" i="1"/>
  <c r="D305" i="1" s="1" a="1"/>
  <c r="D305" i="1" s="1"/>
  <c r="C306" i="1"/>
  <c r="D306" i="1" s="1" a="1"/>
  <c r="D306" i="1" s="1"/>
  <c r="C307" i="1"/>
  <c r="D307" i="1" s="1" a="1"/>
  <c r="D307" i="1" s="1"/>
  <c r="C308" i="1"/>
  <c r="C309" i="1"/>
  <c r="D309" i="1" s="1" a="1"/>
  <c r="D309" i="1" s="1"/>
  <c r="C310" i="1"/>
  <c r="D310" i="1" s="1" a="1"/>
  <c r="D310" i="1" s="1"/>
  <c r="C311" i="1"/>
  <c r="D311" i="1" s="1" a="1"/>
  <c r="D311" i="1" s="1"/>
  <c r="C312" i="1"/>
  <c r="D312" i="1" s="1" a="1"/>
  <c r="D312" i="1" s="1"/>
  <c r="C313" i="1"/>
  <c r="C314" i="1"/>
  <c r="D314" i="1" s="1" a="1"/>
  <c r="D314" i="1" s="1"/>
  <c r="C315" i="1"/>
  <c r="D315" i="1" s="1" a="1"/>
  <c r="D315" i="1" s="1"/>
  <c r="C316" i="1"/>
  <c r="D316" i="1" s="1" a="1"/>
  <c r="D316" i="1" s="1"/>
  <c r="C317" i="1"/>
  <c r="C318" i="1"/>
  <c r="D318" i="1" s="1" a="1"/>
  <c r="D318" i="1" s="1"/>
  <c r="C319" i="1"/>
  <c r="D319" i="1" s="1" a="1"/>
  <c r="D319" i="1" s="1"/>
  <c r="C320" i="1"/>
  <c r="D320" i="1" s="1" a="1"/>
  <c r="D320" i="1" s="1"/>
  <c r="C321" i="1"/>
  <c r="D321" i="1" s="1" a="1"/>
  <c r="D321" i="1" s="1"/>
  <c r="C322" i="1"/>
  <c r="C323" i="1"/>
  <c r="D323" i="1" s="1" a="1"/>
  <c r="D323" i="1" s="1"/>
  <c r="C324" i="1"/>
  <c r="D324" i="1" s="1" a="1"/>
  <c r="D324" i="1" s="1"/>
  <c r="C325" i="1"/>
  <c r="D325" i="1" s="1" a="1"/>
  <c r="D325" i="1" s="1"/>
  <c r="C326" i="1"/>
  <c r="D326" i="1" s="1" a="1"/>
  <c r="D326" i="1" s="1"/>
  <c r="C327" i="1"/>
  <c r="C328" i="1"/>
  <c r="D328" i="1" s="1" a="1"/>
  <c r="D328" i="1" s="1"/>
  <c r="C329" i="1"/>
  <c r="D329" i="1" s="1" a="1"/>
  <c r="D329" i="1" s="1"/>
  <c r="C330" i="1"/>
  <c r="D330" i="1" s="1" a="1"/>
  <c r="D330" i="1" s="1"/>
  <c r="C331" i="1"/>
  <c r="D331" i="1" s="1" a="1"/>
  <c r="D331" i="1" s="1"/>
  <c r="C332" i="1"/>
  <c r="C333" i="1"/>
  <c r="D333" i="1" s="1" a="1"/>
  <c r="D333" i="1" s="1"/>
  <c r="C334" i="1"/>
  <c r="D334" i="1" s="1" a="1"/>
  <c r="D334" i="1" s="1"/>
  <c r="C335" i="1"/>
  <c r="D335" i="1" s="1" a="1"/>
  <c r="D335" i="1" s="1"/>
  <c r="C336" i="1"/>
  <c r="D336" i="1" s="1" a="1"/>
  <c r="D336" i="1" s="1"/>
  <c r="C337" i="1"/>
  <c r="C338" i="1"/>
  <c r="D338" i="1" s="1" a="1"/>
  <c r="D338" i="1" s="1"/>
  <c r="C339" i="1"/>
  <c r="D339" i="1" s="1" a="1"/>
  <c r="D339" i="1" s="1"/>
  <c r="C340" i="1"/>
  <c r="D340" i="1" s="1" a="1"/>
  <c r="D340" i="1" s="1"/>
  <c r="C341" i="1"/>
  <c r="D341" i="1" s="1" a="1"/>
  <c r="D341" i="1" s="1"/>
  <c r="C342" i="1"/>
  <c r="C343" i="1"/>
  <c r="D343" i="1" s="1" a="1"/>
  <c r="D343" i="1" s="1"/>
  <c r="C344" i="1"/>
  <c r="D344" i="1" s="1" a="1"/>
  <c r="D344" i="1" s="1"/>
  <c r="C345" i="1"/>
  <c r="D345" i="1" s="1" a="1"/>
  <c r="D345" i="1" s="1"/>
  <c r="C346" i="1"/>
  <c r="D346" i="1" s="1" a="1"/>
  <c r="D346" i="1" s="1"/>
  <c r="C347" i="1"/>
  <c r="C348" i="1"/>
  <c r="D348" i="1" s="1" a="1"/>
  <c r="D348" i="1" s="1"/>
  <c r="C349" i="1"/>
  <c r="D349" i="1" s="1" a="1"/>
  <c r="D349" i="1" s="1"/>
  <c r="C350" i="1"/>
  <c r="D350" i="1" s="1" a="1"/>
  <c r="D350" i="1" s="1"/>
  <c r="C351" i="1"/>
  <c r="C352" i="1"/>
  <c r="D352" i="1" s="1" a="1"/>
  <c r="D352" i="1" s="1"/>
  <c r="C353" i="1"/>
  <c r="D353" i="1" s="1" a="1"/>
  <c r="D353" i="1" s="1"/>
  <c r="C354" i="1"/>
  <c r="D354" i="1" s="1" a="1"/>
  <c r="D354" i="1" s="1"/>
  <c r="C355" i="1"/>
  <c r="D355" i="1" s="1" a="1"/>
  <c r="D355" i="1" s="1"/>
  <c r="C356" i="1"/>
  <c r="C357" i="1"/>
  <c r="D357" i="1" s="1" a="1"/>
  <c r="D357" i="1" s="1"/>
  <c r="C358" i="1"/>
  <c r="D358" i="1" s="1" a="1"/>
  <c r="D358" i="1" s="1"/>
  <c r="C359" i="1"/>
  <c r="D359" i="1" s="1" a="1"/>
  <c r="D359" i="1" s="1"/>
  <c r="C360" i="1"/>
  <c r="D360" i="1" s="1" a="1"/>
  <c r="D360" i="1" s="1"/>
  <c r="C361" i="1"/>
  <c r="C362" i="1"/>
  <c r="D362" i="1" s="1" a="1"/>
  <c r="D362" i="1" s="1"/>
  <c r="C363" i="1"/>
  <c r="D363" i="1" s="1" a="1"/>
  <c r="D363" i="1" s="1"/>
  <c r="C364" i="1"/>
  <c r="D364" i="1" s="1" a="1"/>
  <c r="D364" i="1" s="1"/>
  <c r="C365" i="1"/>
  <c r="D365" i="1" s="1" a="1"/>
  <c r="D365" i="1" s="1"/>
  <c r="C366" i="1"/>
  <c r="C367" i="1"/>
  <c r="D367" i="1" s="1" a="1"/>
  <c r="D367" i="1" s="1"/>
  <c r="C368" i="1"/>
  <c r="D368" i="1" s="1" a="1"/>
  <c r="D368" i="1" s="1"/>
  <c r="C369" i="1"/>
  <c r="D369" i="1" s="1" a="1"/>
  <c r="D369" i="1" s="1"/>
  <c r="C370" i="1"/>
  <c r="D370" i="1" s="1" a="1"/>
  <c r="D370" i="1" s="1"/>
  <c r="C371" i="1"/>
  <c r="C372" i="1"/>
  <c r="D372" i="1" s="1" a="1"/>
  <c r="D372" i="1" s="1"/>
  <c r="C373" i="1"/>
  <c r="D373" i="1" s="1" a="1"/>
  <c r="D373" i="1" s="1"/>
  <c r="C374" i="1"/>
  <c r="D374" i="1" s="1" a="1"/>
  <c r="D374" i="1" s="1"/>
  <c r="C375" i="1"/>
  <c r="D375" i="1" s="1" a="1"/>
  <c r="D375" i="1" s="1"/>
  <c r="C376" i="1"/>
  <c r="C377" i="1"/>
  <c r="D377" i="1" s="1" a="1"/>
  <c r="D377" i="1" s="1"/>
  <c r="C378" i="1"/>
  <c r="D378" i="1" s="1" a="1"/>
  <c r="D378" i="1" s="1"/>
  <c r="C379" i="1"/>
  <c r="D379" i="1" s="1" a="1"/>
  <c r="D379" i="1" s="1"/>
  <c r="C380" i="1"/>
  <c r="D380" i="1" s="1" a="1"/>
  <c r="D380" i="1" s="1"/>
  <c r="C381" i="1"/>
  <c r="C382" i="1"/>
  <c r="D382" i="1" s="1" a="1"/>
  <c r="D382" i="1" s="1"/>
  <c r="C383" i="1"/>
  <c r="D383" i="1" s="1" a="1"/>
  <c r="D383" i="1" s="1"/>
  <c r="C384" i="1"/>
  <c r="D384" i="1" s="1" a="1"/>
  <c r="D384" i="1" s="1"/>
  <c r="C385" i="1"/>
  <c r="C386" i="1"/>
  <c r="D386" i="1" s="1" a="1"/>
  <c r="D386" i="1" s="1"/>
  <c r="C387" i="1"/>
  <c r="D387" i="1" s="1" a="1"/>
  <c r="D387" i="1" s="1"/>
  <c r="C388" i="1"/>
  <c r="D388" i="1" s="1" a="1"/>
  <c r="D388" i="1" s="1"/>
  <c r="C389" i="1"/>
  <c r="D389" i="1" s="1" a="1"/>
  <c r="D389" i="1" s="1"/>
  <c r="C390" i="1"/>
  <c r="C391" i="1"/>
  <c r="D391" i="1" s="1" a="1"/>
  <c r="D391" i="1" s="1"/>
  <c r="C392" i="1"/>
  <c r="D392" i="1" s="1" a="1"/>
  <c r="D392" i="1" s="1"/>
  <c r="C393" i="1"/>
  <c r="D393" i="1" s="1" a="1"/>
  <c r="D393" i="1" s="1"/>
  <c r="C394" i="1"/>
  <c r="D394" i="1" s="1" a="1"/>
  <c r="D394" i="1" s="1"/>
  <c r="C395" i="1"/>
  <c r="C396" i="1"/>
  <c r="D396" i="1" s="1" a="1"/>
  <c r="D396" i="1" s="1"/>
  <c r="C397" i="1"/>
  <c r="D397" i="1" s="1" a="1"/>
  <c r="D397" i="1" s="1"/>
  <c r="C398" i="1"/>
  <c r="D398" i="1" s="1" a="1"/>
  <c r="D398" i="1" s="1"/>
  <c r="C399" i="1"/>
  <c r="C400" i="1"/>
  <c r="D400" i="1" s="1" a="1"/>
  <c r="D400" i="1" s="1"/>
  <c r="C401" i="1"/>
  <c r="D401" i="1" s="1" a="1"/>
  <c r="D401" i="1" s="1"/>
  <c r="C402" i="1"/>
  <c r="D402" i="1" s="1" a="1"/>
  <c r="D402" i="1" s="1"/>
  <c r="C403" i="1"/>
  <c r="D403" i="1" s="1" a="1"/>
  <c r="D403" i="1" s="1"/>
  <c r="C404" i="1"/>
  <c r="C405" i="1"/>
  <c r="D405" i="1" s="1" a="1"/>
  <c r="D405" i="1" s="1"/>
  <c r="C406" i="1"/>
  <c r="D406" i="1" s="1" a="1"/>
  <c r="D406" i="1" s="1"/>
  <c r="C407" i="1"/>
  <c r="D407" i="1" s="1" a="1"/>
  <c r="D407" i="1" s="1"/>
  <c r="C408" i="1"/>
  <c r="C409" i="1"/>
  <c r="D409" i="1" s="1" a="1"/>
  <c r="D409" i="1" s="1"/>
  <c r="C410" i="1"/>
  <c r="D410" i="1" s="1" a="1"/>
  <c r="D410" i="1" s="1"/>
  <c r="C411" i="1"/>
  <c r="D411" i="1" s="1" a="1"/>
  <c r="D411" i="1" s="1"/>
  <c r="C412" i="1"/>
  <c r="D412" i="1" s="1" a="1"/>
  <c r="D412" i="1" s="1"/>
  <c r="C413" i="1"/>
  <c r="C414" i="1"/>
  <c r="D414" i="1" s="1" a="1"/>
  <c r="D414" i="1" s="1"/>
  <c r="C415" i="1"/>
  <c r="D415" i="1" s="1" a="1"/>
  <c r="D415" i="1" s="1"/>
  <c r="C416" i="1"/>
  <c r="D416" i="1" s="1" a="1"/>
  <c r="D416" i="1" s="1"/>
  <c r="C417" i="1"/>
  <c r="D417" i="1" s="1" a="1"/>
  <c r="D417" i="1" s="1"/>
  <c r="C418" i="1"/>
  <c r="C419" i="1"/>
  <c r="D419" i="1" s="1" a="1"/>
  <c r="D419" i="1" s="1"/>
  <c r="C420" i="1"/>
  <c r="D420" i="1" s="1" a="1"/>
  <c r="D420" i="1" s="1"/>
  <c r="C421" i="1"/>
  <c r="D421" i="1" s="1" a="1"/>
  <c r="D421" i="1" s="1"/>
  <c r="C422" i="1"/>
  <c r="D422" i="1" s="1" a="1"/>
  <c r="D422" i="1" s="1"/>
  <c r="C423" i="1"/>
  <c r="C424" i="1"/>
  <c r="D424" i="1" s="1" a="1"/>
  <c r="D424" i="1" s="1"/>
  <c r="C425" i="1"/>
  <c r="D425" i="1" s="1" a="1"/>
  <c r="D425" i="1" s="1"/>
  <c r="C426" i="1"/>
  <c r="D426" i="1" s="1" a="1"/>
  <c r="D426" i="1" s="1"/>
  <c r="C427" i="1"/>
  <c r="D427" i="1" s="1" a="1"/>
  <c r="D427" i="1" s="1"/>
  <c r="C428" i="1"/>
  <c r="C429" i="1"/>
  <c r="D429" i="1" s="1" a="1"/>
  <c r="D429" i="1" s="1"/>
  <c r="C430" i="1"/>
  <c r="D430" i="1" s="1" a="1"/>
  <c r="D430" i="1" s="1"/>
  <c r="C431" i="1"/>
  <c r="C432" i="1"/>
  <c r="D432" i="1" s="1" a="1"/>
  <c r="D432" i="1" s="1"/>
  <c r="C433" i="1"/>
  <c r="C434" i="1"/>
  <c r="D434" i="1" s="1" a="1"/>
  <c r="D434" i="1" s="1"/>
  <c r="C435" i="1"/>
  <c r="D435" i="1" s="1" a="1"/>
  <c r="D435" i="1" s="1"/>
  <c r="C436" i="1"/>
  <c r="D436" i="1" s="1" a="1"/>
  <c r="D436" i="1" s="1"/>
  <c r="C437" i="1"/>
  <c r="D437" i="1" s="1" a="1"/>
  <c r="D437" i="1" s="1"/>
  <c r="C438" i="1"/>
  <c r="C439" i="1"/>
  <c r="D439" i="1" s="1" a="1"/>
  <c r="D439" i="1" s="1"/>
  <c r="C440" i="1"/>
  <c r="D440" i="1" s="1" a="1"/>
  <c r="D440" i="1" s="1"/>
  <c r="C441" i="1"/>
  <c r="D441" i="1" s="1" a="1"/>
  <c r="D441" i="1" s="1"/>
  <c r="C442" i="1"/>
  <c r="D442" i="1" s="1" a="1"/>
  <c r="D442" i="1" s="1"/>
  <c r="C443" i="1"/>
  <c r="C444" i="1"/>
  <c r="D444" i="1" s="1" a="1"/>
  <c r="D444" i="1" s="1"/>
  <c r="C445" i="1"/>
  <c r="D445" i="1" s="1" a="1"/>
  <c r="D445" i="1" s="1"/>
  <c r="C446" i="1"/>
  <c r="D446" i="1" s="1" a="1"/>
  <c r="D446" i="1" s="1"/>
  <c r="C447" i="1"/>
  <c r="D447" i="1" s="1" a="1"/>
  <c r="D447" i="1" s="1"/>
  <c r="C448" i="1"/>
  <c r="C449" i="1"/>
  <c r="D449" i="1" s="1" a="1"/>
  <c r="D449" i="1" s="1"/>
  <c r="C450" i="1"/>
  <c r="D450" i="1" s="1" a="1"/>
  <c r="D450" i="1" s="1"/>
  <c r="C451" i="1"/>
  <c r="D451" i="1" s="1" a="1"/>
  <c r="D451" i="1" s="1"/>
  <c r="C452" i="1"/>
  <c r="C453" i="1"/>
  <c r="D453" i="1" s="1" a="1"/>
  <c r="D453" i="1" s="1"/>
  <c r="C454" i="1"/>
  <c r="D454" i="1" s="1" a="1"/>
  <c r="D454" i="1" s="1"/>
  <c r="C455" i="1"/>
  <c r="C456" i="1"/>
  <c r="D456" i="1" s="1" a="1"/>
  <c r="D456" i="1" s="1"/>
  <c r="C457" i="1"/>
  <c r="C458" i="1"/>
  <c r="D458" i="1" s="1" a="1"/>
  <c r="D458" i="1" s="1"/>
  <c r="C459" i="1"/>
  <c r="D459" i="1" s="1" a="1"/>
  <c r="D459" i="1" s="1"/>
  <c r="C460" i="1"/>
  <c r="D460" i="1" s="1" a="1"/>
  <c r="D460" i="1" s="1"/>
  <c r="C461" i="1"/>
  <c r="D461" i="1" s="1" a="1"/>
  <c r="D461" i="1" s="1"/>
  <c r="C462" i="1"/>
  <c r="C463" i="1"/>
  <c r="D463" i="1" s="1" a="1"/>
  <c r="D463" i="1" s="1"/>
  <c r="C464" i="1"/>
  <c r="D464" i="1" s="1" a="1"/>
  <c r="D464" i="1" s="1"/>
  <c r="C465" i="1"/>
  <c r="D465" i="1" s="1" a="1"/>
  <c r="D465" i="1" s="1"/>
  <c r="C466" i="1"/>
  <c r="D466" i="1" s="1" a="1"/>
  <c r="D466" i="1" s="1"/>
  <c r="C467" i="1"/>
  <c r="C468" i="1"/>
  <c r="D468" i="1" s="1" a="1"/>
  <c r="D468" i="1" s="1"/>
  <c r="C469" i="1"/>
  <c r="D469" i="1" s="1" a="1"/>
  <c r="D469" i="1" s="1"/>
  <c r="C470" i="1"/>
  <c r="D470" i="1" s="1" a="1"/>
  <c r="D470" i="1" s="1"/>
  <c r="C471" i="1"/>
  <c r="D471" i="1" s="1" a="1"/>
  <c r="D471" i="1" s="1"/>
  <c r="C472" i="1"/>
  <c r="C473" i="1"/>
  <c r="D473" i="1" s="1" a="1"/>
  <c r="D473" i="1" s="1"/>
  <c r="C474" i="1"/>
  <c r="D474" i="1" s="1" a="1"/>
  <c r="D474" i="1" s="1"/>
  <c r="C475" i="1"/>
  <c r="D475" i="1" s="1" a="1"/>
  <c r="D475" i="1" s="1"/>
  <c r="C476" i="1"/>
  <c r="D476" i="1" s="1" a="1"/>
  <c r="D476" i="1" s="1"/>
  <c r="C477" i="1"/>
  <c r="C478" i="1"/>
  <c r="D478" i="1" s="1" a="1"/>
  <c r="D478" i="1" s="1"/>
  <c r="C479" i="1"/>
  <c r="D479" i="1" s="1" a="1"/>
  <c r="D479" i="1" s="1"/>
  <c r="C480" i="1"/>
  <c r="D480" i="1" s="1" a="1"/>
  <c r="D480" i="1" s="1"/>
  <c r="C481" i="1"/>
  <c r="D481" i="1" s="1" a="1"/>
  <c r="D481" i="1" s="1"/>
  <c r="C482" i="1"/>
  <c r="C483" i="1"/>
  <c r="D483" i="1" s="1" a="1"/>
  <c r="D483" i="1" s="1"/>
  <c r="C484" i="1"/>
  <c r="D484" i="1" s="1" a="1"/>
  <c r="D484" i="1" s="1"/>
  <c r="C485" i="1"/>
  <c r="D485" i="1" s="1" a="1"/>
  <c r="D485" i="1" s="1"/>
  <c r="C486" i="1"/>
  <c r="D486" i="1" s="1" a="1"/>
  <c r="D486" i="1" s="1"/>
  <c r="C487" i="1"/>
  <c r="C488" i="1"/>
  <c r="D488" i="1" s="1" a="1"/>
  <c r="D488" i="1" s="1"/>
  <c r="C489" i="1"/>
  <c r="D489" i="1" s="1" a="1"/>
  <c r="D489" i="1" s="1"/>
  <c r="C490" i="1"/>
  <c r="D490" i="1" s="1" a="1"/>
  <c r="D490" i="1" s="1"/>
  <c r="C491" i="1"/>
  <c r="D491" i="1" s="1" a="1"/>
  <c r="D491" i="1" s="1"/>
  <c r="C492" i="1"/>
  <c r="C493" i="1"/>
  <c r="D493" i="1" s="1" a="1"/>
  <c r="D493" i="1" s="1"/>
  <c r="C494" i="1"/>
  <c r="D494" i="1" s="1" a="1"/>
  <c r="D494" i="1" s="1"/>
  <c r="C495" i="1"/>
  <c r="D495" i="1" s="1" a="1"/>
  <c r="D495" i="1" s="1"/>
  <c r="C496" i="1"/>
  <c r="D496" i="1" s="1" a="1"/>
  <c r="D496" i="1" s="1"/>
  <c r="C497" i="1"/>
  <c r="C498" i="1"/>
  <c r="D498" i="1" s="1" a="1"/>
  <c r="D498" i="1" s="1"/>
  <c r="C499" i="1"/>
  <c r="D499" i="1" s="1" a="1"/>
  <c r="D499" i="1" s="1"/>
  <c r="C500" i="1"/>
  <c r="D500" i="1" s="1" a="1"/>
  <c r="D500" i="1" s="1"/>
  <c r="C501" i="1"/>
  <c r="D501" i="1" s="1" a="1"/>
  <c r="D501" i="1" s="1"/>
  <c r="C502" i="1"/>
  <c r="C503" i="1"/>
  <c r="D503" i="1" s="1" a="1"/>
  <c r="D503" i="1" s="1"/>
  <c r="C504" i="1"/>
  <c r="D504" i="1" s="1" a="1"/>
  <c r="D504" i="1" s="1"/>
  <c r="C505" i="1"/>
  <c r="D505" i="1" s="1" a="1"/>
  <c r="D505" i="1" s="1"/>
  <c r="C506" i="1"/>
  <c r="C507" i="1"/>
  <c r="D507" i="1" s="1" a="1"/>
  <c r="D507" i="1" s="1"/>
  <c r="C508" i="1"/>
  <c r="D508" i="1" s="1" a="1"/>
  <c r="D508" i="1" s="1"/>
  <c r="C509" i="1"/>
  <c r="D509" i="1" s="1" a="1"/>
  <c r="D509" i="1" s="1"/>
  <c r="C510" i="1"/>
  <c r="D510" i="1" s="1" a="1"/>
  <c r="D510" i="1" s="1"/>
  <c r="C511" i="1"/>
  <c r="C512" i="1"/>
  <c r="D512" i="1" s="1" a="1"/>
  <c r="D512" i="1" s="1"/>
  <c r="C513" i="1"/>
  <c r="D513" i="1" s="1" a="1"/>
  <c r="D513" i="1" s="1"/>
  <c r="C514" i="1"/>
  <c r="D514" i="1" s="1" a="1"/>
  <c r="D514" i="1" s="1"/>
  <c r="C515" i="1"/>
  <c r="D515" i="1" s="1" a="1"/>
  <c r="D515" i="1" s="1"/>
  <c r="C516" i="1"/>
  <c r="C517" i="1"/>
  <c r="D517" i="1" s="1" a="1"/>
  <c r="D517" i="1" s="1"/>
  <c r="C518" i="1"/>
  <c r="D518" i="1" s="1" a="1"/>
  <c r="D518" i="1" s="1"/>
  <c r="C519" i="1"/>
  <c r="D519" i="1" s="1" a="1"/>
  <c r="D519" i="1" s="1"/>
  <c r="C520" i="1"/>
  <c r="D520" i="1" s="1" a="1"/>
  <c r="D520" i="1" s="1"/>
  <c r="C521" i="1"/>
  <c r="C522" i="1"/>
  <c r="D522" i="1" s="1" a="1"/>
  <c r="D522" i="1" s="1"/>
  <c r="C523" i="1"/>
  <c r="D523" i="1" s="1" a="1"/>
  <c r="D523" i="1" s="1"/>
  <c r="C524" i="1"/>
  <c r="D524" i="1" s="1" a="1"/>
  <c r="D524" i="1" s="1"/>
  <c r="C525" i="1"/>
  <c r="D525" i="1" s="1" a="1"/>
  <c r="D525" i="1" s="1"/>
  <c r="C526" i="1"/>
  <c r="C527" i="1"/>
  <c r="D527" i="1" s="1" a="1"/>
  <c r="D527" i="1" s="1"/>
  <c r="C528" i="1"/>
  <c r="D528" i="1" s="1" a="1"/>
  <c r="D528" i="1" s="1"/>
  <c r="C529" i="1"/>
  <c r="D529" i="1" s="1" a="1"/>
  <c r="D529" i="1" s="1"/>
  <c r="C530" i="1"/>
  <c r="C531" i="1"/>
  <c r="D531" i="1" s="1" a="1"/>
  <c r="D531" i="1" s="1"/>
  <c r="C532" i="1"/>
  <c r="D532" i="1" s="1" a="1"/>
  <c r="D532" i="1" s="1"/>
  <c r="C533" i="1"/>
  <c r="D533" i="1" s="1" a="1"/>
  <c r="D533" i="1" s="1"/>
  <c r="C534" i="1"/>
  <c r="C535" i="1"/>
  <c r="D535" i="1" s="1" a="1"/>
  <c r="D535" i="1" s="1"/>
  <c r="C536" i="1"/>
  <c r="D536" i="1" s="1" a="1"/>
  <c r="D536" i="1" s="1"/>
  <c r="C537" i="1"/>
  <c r="D537" i="1" s="1" a="1"/>
  <c r="D537" i="1" s="1"/>
  <c r="C538" i="1"/>
  <c r="D538" i="1" s="1" a="1"/>
  <c r="D538" i="1" s="1"/>
  <c r="C539" i="1"/>
  <c r="C540" i="1"/>
  <c r="D540" i="1" s="1" a="1"/>
  <c r="D540" i="1" s="1"/>
  <c r="C541" i="1"/>
  <c r="D541" i="1" s="1" a="1"/>
  <c r="D541" i="1" s="1"/>
  <c r="C542" i="1"/>
  <c r="D542" i="1" s="1" a="1"/>
  <c r="D542" i="1" s="1"/>
  <c r="C543" i="1"/>
  <c r="C544" i="1"/>
  <c r="D544" i="1" s="1" a="1"/>
  <c r="D544" i="1" s="1"/>
  <c r="C545" i="1"/>
  <c r="D545" i="1" s="1" a="1"/>
  <c r="D545" i="1" s="1"/>
  <c r="C546" i="1"/>
  <c r="D546" i="1" s="1" a="1"/>
  <c r="D546" i="1" s="1"/>
  <c r="C547" i="1"/>
  <c r="D547" i="1" s="1" a="1"/>
  <c r="D547" i="1" s="1"/>
  <c r="C548" i="1"/>
  <c r="C549" i="1"/>
  <c r="D549" i="1" s="1" a="1"/>
  <c r="D549" i="1" s="1"/>
  <c r="C550" i="1"/>
  <c r="D550" i="1" s="1" a="1"/>
  <c r="D550" i="1" s="1"/>
  <c r="C551" i="1"/>
  <c r="D551" i="1" s="1" a="1"/>
  <c r="D551" i="1" s="1"/>
  <c r="C552" i="1"/>
  <c r="D552" i="1" s="1" a="1"/>
  <c r="D552" i="1" s="1"/>
  <c r="C553" i="1"/>
  <c r="C554" i="1"/>
  <c r="D554" i="1" s="1" a="1"/>
  <c r="D554" i="1" s="1"/>
  <c r="C555" i="1"/>
  <c r="D555" i="1" s="1" a="1"/>
  <c r="D555" i="1" s="1"/>
  <c r="C556" i="1"/>
  <c r="D556" i="1" s="1" a="1"/>
  <c r="D556" i="1" s="1"/>
  <c r="C557" i="1"/>
  <c r="D557" i="1" s="1" a="1"/>
  <c r="D557" i="1" s="1"/>
  <c r="C558" i="1"/>
  <c r="C559" i="1"/>
  <c r="D559" i="1" s="1" a="1"/>
  <c r="D559" i="1" s="1"/>
  <c r="C560" i="1"/>
  <c r="D560" i="1" s="1" a="1"/>
  <c r="D560" i="1" s="1"/>
  <c r="C561" i="1"/>
  <c r="D561" i="1" s="1" a="1"/>
  <c r="D561" i="1" s="1"/>
  <c r="C562" i="1"/>
  <c r="D562" i="1" s="1" a="1"/>
  <c r="D562" i="1" s="1"/>
  <c r="C563" i="1"/>
  <c r="C564" i="1"/>
  <c r="D564" i="1" s="1" a="1"/>
  <c r="D564" i="1" s="1"/>
  <c r="C565" i="1"/>
  <c r="D565" i="1" s="1" a="1"/>
  <c r="D565" i="1" s="1"/>
  <c r="C566" i="1"/>
  <c r="D566" i="1" s="1" a="1"/>
  <c r="D566" i="1" s="1"/>
  <c r="C567" i="1"/>
  <c r="C568" i="1"/>
  <c r="D568" i="1" s="1" a="1"/>
  <c r="D568" i="1" s="1"/>
  <c r="C569" i="1"/>
  <c r="D569" i="1" s="1" a="1"/>
  <c r="D569" i="1" s="1"/>
  <c r="C570" i="1"/>
  <c r="D570" i="1" s="1" a="1"/>
  <c r="D570" i="1" s="1"/>
  <c r="C571" i="1"/>
  <c r="D571" i="1" s="1" a="1"/>
  <c r="D571" i="1" s="1"/>
  <c r="C572" i="1"/>
  <c r="C573" i="1"/>
  <c r="D573" i="1" s="1" a="1"/>
  <c r="D573" i="1" s="1"/>
  <c r="C574" i="1"/>
  <c r="D574" i="1" s="1" a="1"/>
  <c r="D574" i="1" s="1"/>
  <c r="C575" i="1"/>
  <c r="D575" i="1" s="1" a="1"/>
  <c r="D575" i="1" s="1"/>
  <c r="C576" i="1"/>
  <c r="D576" i="1" s="1" a="1"/>
  <c r="D576" i="1" s="1"/>
  <c r="C577" i="1"/>
  <c r="C578" i="1"/>
  <c r="D578" i="1" s="1" a="1"/>
  <c r="D578" i="1" s="1"/>
  <c r="C579" i="1"/>
  <c r="D579" i="1" s="1" a="1"/>
  <c r="D579" i="1" s="1"/>
  <c r="C580" i="1"/>
  <c r="D580" i="1" s="1" a="1"/>
  <c r="D580" i="1" s="1"/>
  <c r="C581" i="1"/>
  <c r="D581" i="1" s="1" a="1"/>
  <c r="D581" i="1" s="1"/>
  <c r="C582" i="1"/>
  <c r="C583" i="1"/>
  <c r="D583" i="1" s="1" a="1"/>
  <c r="D583" i="1" s="1"/>
  <c r="C584" i="1"/>
  <c r="D584" i="1" s="1" a="1"/>
  <c r="D584" i="1" s="1"/>
  <c r="C585" i="1"/>
  <c r="D585" i="1" s="1" a="1"/>
  <c r="D585" i="1" s="1"/>
  <c r="C586" i="1"/>
  <c r="D586" i="1" s="1" a="1"/>
  <c r="D586" i="1" s="1"/>
  <c r="C587" i="1"/>
  <c r="C588" i="1"/>
  <c r="D588" i="1" s="1" a="1"/>
  <c r="D588" i="1" s="1"/>
  <c r="C589" i="1"/>
  <c r="D589" i="1" s="1" a="1"/>
  <c r="D589" i="1" s="1"/>
  <c r="C590" i="1"/>
  <c r="D590" i="1" s="1" a="1"/>
  <c r="D590" i="1" s="1"/>
  <c r="C591" i="1"/>
  <c r="D591" i="1" s="1" a="1"/>
  <c r="D591" i="1" s="1"/>
  <c r="C592" i="1"/>
  <c r="C593" i="1"/>
  <c r="D593" i="1" s="1" a="1"/>
  <c r="D593" i="1" s="1"/>
  <c r="C594" i="1"/>
  <c r="D594" i="1" s="1" a="1"/>
  <c r="D594" i="1" s="1"/>
  <c r="C595" i="1"/>
  <c r="D595" i="1" s="1" a="1"/>
  <c r="D595" i="1" s="1"/>
  <c r="C596" i="1"/>
  <c r="C597" i="1"/>
  <c r="D597" i="1" s="1" a="1"/>
  <c r="D597" i="1" s="1"/>
  <c r="C598" i="1"/>
  <c r="D598" i="1" s="1" a="1"/>
  <c r="D598" i="1" s="1"/>
  <c r="C599" i="1"/>
  <c r="D599" i="1" s="1" a="1"/>
  <c r="D599" i="1" s="1"/>
  <c r="C600" i="1"/>
  <c r="D600" i="1" s="1" a="1"/>
  <c r="D600" i="1" s="1"/>
  <c r="C601" i="1"/>
  <c r="C602" i="1"/>
  <c r="D602" i="1" s="1" a="1"/>
  <c r="D602" i="1" s="1"/>
  <c r="C603" i="1"/>
  <c r="D603" i="1" s="1" a="1"/>
  <c r="D603" i="1" s="1"/>
  <c r="C604" i="1"/>
  <c r="D604" i="1" s="1" a="1"/>
  <c r="D604" i="1" s="1"/>
  <c r="C605" i="1"/>
  <c r="D605" i="1" s="1" a="1"/>
  <c r="D605" i="1" s="1"/>
  <c r="C606" i="1"/>
  <c r="C607" i="1"/>
  <c r="D607" i="1" s="1" a="1"/>
  <c r="D607" i="1" s="1"/>
  <c r="C608" i="1"/>
  <c r="D608" i="1" s="1" a="1"/>
  <c r="D608" i="1" s="1"/>
  <c r="C609" i="1"/>
  <c r="D609" i="1" s="1" a="1"/>
  <c r="D609" i="1" s="1"/>
  <c r="C610" i="1"/>
  <c r="D610" i="1" s="1" a="1"/>
  <c r="D610" i="1" s="1"/>
  <c r="C611" i="1"/>
  <c r="C612" i="1"/>
  <c r="D612" i="1" s="1" a="1"/>
  <c r="D612" i="1" s="1"/>
  <c r="C613" i="1"/>
  <c r="D613" i="1" s="1" a="1"/>
  <c r="D613" i="1" s="1"/>
  <c r="C614" i="1"/>
  <c r="D614" i="1" s="1" a="1"/>
  <c r="D614" i="1" s="1"/>
  <c r="C615" i="1"/>
  <c r="D615" i="1" s="1" a="1"/>
  <c r="D615" i="1" s="1"/>
  <c r="C616" i="1"/>
  <c r="C617" i="1"/>
  <c r="D617" i="1" s="1" a="1"/>
  <c r="D617" i="1" s="1"/>
  <c r="C618" i="1"/>
  <c r="D618" i="1" s="1" a="1"/>
  <c r="D618" i="1" s="1"/>
  <c r="C619" i="1"/>
  <c r="D619" i="1" s="1" a="1"/>
  <c r="D619" i="1" s="1"/>
  <c r="C620" i="1"/>
  <c r="D620" i="1" s="1" a="1"/>
  <c r="D620" i="1" s="1"/>
  <c r="C621" i="1"/>
  <c r="C622" i="1"/>
  <c r="D622" i="1" s="1" a="1"/>
  <c r="D622" i="1" s="1"/>
  <c r="C623" i="1"/>
  <c r="D623" i="1" s="1" a="1"/>
  <c r="D623" i="1" s="1"/>
  <c r="C624" i="1"/>
  <c r="D624" i="1" s="1" a="1"/>
  <c r="D624" i="1" s="1"/>
  <c r="C625" i="1"/>
  <c r="D625" i="1" s="1" a="1"/>
  <c r="D625" i="1" s="1"/>
  <c r="C626" i="1"/>
  <c r="C627" i="1"/>
  <c r="D627" i="1" s="1" a="1"/>
  <c r="D627" i="1" s="1"/>
  <c r="C628" i="1"/>
  <c r="D628" i="1" s="1" a="1"/>
  <c r="D628" i="1" s="1"/>
  <c r="C629" i="1"/>
  <c r="D629" i="1" s="1" a="1"/>
  <c r="D629" i="1" s="1"/>
  <c r="C630" i="1"/>
  <c r="D630" i="1" s="1" a="1"/>
  <c r="D630" i="1" s="1"/>
  <c r="C631" i="1"/>
  <c r="C632" i="1"/>
  <c r="D632" i="1" s="1" a="1"/>
  <c r="D632" i="1" s="1"/>
  <c r="C633" i="1"/>
  <c r="D633" i="1" s="1" a="1"/>
  <c r="D633" i="1" s="1"/>
  <c r="C634" i="1"/>
  <c r="D634" i="1" s="1" a="1"/>
  <c r="D634" i="1" s="1"/>
  <c r="C635" i="1"/>
  <c r="C636" i="1"/>
  <c r="D636" i="1" s="1" a="1"/>
  <c r="D636" i="1" s="1"/>
  <c r="C637" i="1"/>
  <c r="D637" i="1" s="1" a="1"/>
  <c r="D637" i="1" s="1"/>
  <c r="C638" i="1"/>
  <c r="D638" i="1" s="1" a="1"/>
  <c r="D638" i="1" s="1"/>
  <c r="C639" i="1"/>
  <c r="D639" i="1" s="1" a="1"/>
  <c r="D639" i="1" s="1"/>
  <c r="C640" i="1"/>
  <c r="C641" i="1"/>
  <c r="D641" i="1" s="1" a="1"/>
  <c r="D641" i="1" s="1"/>
  <c r="C642" i="1"/>
  <c r="D642" i="1" s="1" a="1"/>
  <c r="D642" i="1" s="1"/>
  <c r="C643" i="1"/>
  <c r="D643" i="1" s="1" a="1"/>
  <c r="D643" i="1" s="1"/>
  <c r="C644" i="1"/>
  <c r="D644" i="1" s="1" a="1"/>
  <c r="D644" i="1" s="1"/>
  <c r="C645" i="1"/>
  <c r="C646" i="1"/>
  <c r="D646" i="1" s="1" a="1"/>
  <c r="D646" i="1" s="1"/>
  <c r="C647" i="1"/>
  <c r="D647" i="1" s="1" a="1"/>
  <c r="D647" i="1" s="1"/>
  <c r="C648" i="1"/>
  <c r="D648" i="1" s="1" a="1"/>
  <c r="D648" i="1" s="1"/>
  <c r="C649" i="1"/>
  <c r="C650" i="1"/>
  <c r="D650" i="1" s="1" a="1"/>
  <c r="D650" i="1" s="1"/>
  <c r="C651" i="1"/>
  <c r="D651" i="1" s="1" a="1"/>
  <c r="D651" i="1" s="1"/>
  <c r="C652" i="1"/>
  <c r="D652" i="1" s="1" a="1"/>
  <c r="D652" i="1" s="1"/>
  <c r="C653" i="1"/>
  <c r="D653" i="1" s="1" a="1"/>
  <c r="D653" i="1" s="1"/>
  <c r="C654" i="1"/>
  <c r="C655" i="1"/>
  <c r="D655" i="1" s="1" a="1"/>
  <c r="D655" i="1" s="1"/>
  <c r="C656" i="1"/>
  <c r="D656" i="1" s="1" a="1"/>
  <c r="D656" i="1" s="1"/>
  <c r="C657" i="1"/>
  <c r="D657" i="1" s="1" a="1"/>
  <c r="D657" i="1" s="1"/>
  <c r="C658" i="1"/>
  <c r="C659" i="1"/>
  <c r="D659" i="1" s="1" a="1"/>
  <c r="D659" i="1" s="1"/>
  <c r="C660" i="1"/>
  <c r="D660" i="1" s="1" a="1"/>
  <c r="D660" i="1" s="1"/>
  <c r="C661" i="1"/>
  <c r="D661" i="1" s="1" a="1"/>
  <c r="D661" i="1" s="1"/>
  <c r="C662" i="1"/>
  <c r="D662" i="1" s="1" a="1"/>
  <c r="D662" i="1" s="1"/>
  <c r="C663" i="1"/>
  <c r="C664" i="1"/>
  <c r="D664" i="1" s="1" a="1"/>
  <c r="D664" i="1" s="1"/>
  <c r="C665" i="1"/>
  <c r="D665" i="1" s="1" a="1"/>
  <c r="D665" i="1" s="1"/>
  <c r="C666" i="1"/>
  <c r="D666" i="1" s="1" a="1"/>
  <c r="D666" i="1" s="1"/>
  <c r="C667" i="1"/>
  <c r="D667" i="1" s="1" a="1"/>
  <c r="D667" i="1" s="1"/>
  <c r="C668" i="1"/>
  <c r="C669" i="1"/>
  <c r="D669" i="1" s="1" a="1"/>
  <c r="D669" i="1" s="1"/>
  <c r="C670" i="1"/>
  <c r="D670" i="1" s="1" a="1"/>
  <c r="D670" i="1" s="1"/>
  <c r="C671" i="1"/>
  <c r="D671" i="1" s="1" a="1"/>
  <c r="D671" i="1" s="1"/>
  <c r="C672" i="1"/>
  <c r="D672" i="1" s="1" a="1"/>
  <c r="D672" i="1" s="1"/>
  <c r="C673" i="1"/>
  <c r="C674" i="1"/>
  <c r="D674" i="1" s="1" a="1"/>
  <c r="D674" i="1" s="1"/>
  <c r="C675" i="1"/>
  <c r="D675" i="1" s="1" a="1"/>
  <c r="D675" i="1" s="1"/>
  <c r="C676" i="1"/>
  <c r="D676" i="1" s="1" a="1"/>
  <c r="D676" i="1" s="1"/>
  <c r="C677" i="1"/>
  <c r="D677" i="1" s="1" a="1"/>
  <c r="D677" i="1" s="1"/>
  <c r="C678" i="1"/>
  <c r="C679" i="1"/>
  <c r="D679" i="1" s="1" a="1"/>
  <c r="D679" i="1" s="1"/>
  <c r="C680" i="1"/>
  <c r="D680" i="1" s="1" a="1"/>
  <c r="D680" i="1" s="1"/>
  <c r="C681" i="1"/>
  <c r="D681" i="1" s="1" a="1"/>
  <c r="D681" i="1" s="1"/>
  <c r="C682" i="1"/>
  <c r="D682" i="1" s="1" a="1"/>
  <c r="D682" i="1" s="1"/>
  <c r="C683" i="1"/>
  <c r="C684" i="1"/>
  <c r="D684" i="1" s="1" a="1"/>
  <c r="D684" i="1" s="1"/>
  <c r="C685" i="1"/>
  <c r="D685" i="1" s="1" a="1"/>
  <c r="D685" i="1" s="1"/>
  <c r="C686" i="1"/>
  <c r="D686" i="1" s="1" a="1"/>
  <c r="D686" i="1" s="1"/>
  <c r="C687" i="1"/>
  <c r="D687" i="1" s="1" a="1"/>
  <c r="D687" i="1" s="1"/>
  <c r="C688" i="1"/>
  <c r="C689" i="1"/>
  <c r="D689" i="1" s="1" a="1"/>
  <c r="D689" i="1" s="1"/>
  <c r="C690" i="1"/>
  <c r="D690" i="1" s="1" a="1"/>
  <c r="D690" i="1" s="1"/>
  <c r="C691" i="1"/>
  <c r="D691" i="1" s="1" a="1"/>
  <c r="D691" i="1" s="1"/>
  <c r="C692" i="1"/>
  <c r="D692" i="1" s="1" a="1"/>
  <c r="D692" i="1" s="1"/>
  <c r="C693" i="1"/>
  <c r="C694" i="1"/>
  <c r="D694" i="1" s="1" a="1"/>
  <c r="D694" i="1" s="1"/>
  <c r="C695" i="1"/>
  <c r="D695" i="1" s="1" a="1"/>
  <c r="D695" i="1" s="1"/>
  <c r="C696" i="1"/>
  <c r="D696" i="1" s="1" a="1"/>
  <c r="D696" i="1" s="1"/>
  <c r="C697" i="1"/>
  <c r="D697" i="1" s="1" a="1"/>
  <c r="D697" i="1" s="1"/>
  <c r="C698" i="1"/>
  <c r="C699" i="1"/>
  <c r="D699" i="1" s="1" a="1"/>
  <c r="D699" i="1" s="1"/>
  <c r="C700" i="1"/>
  <c r="D700" i="1" s="1" a="1"/>
  <c r="D700" i="1" s="1"/>
  <c r="C701" i="1"/>
  <c r="D701" i="1" s="1" a="1"/>
  <c r="D701" i="1" s="1"/>
  <c r="C702" i="1"/>
  <c r="C703" i="1"/>
  <c r="D703" i="1" s="1" a="1"/>
  <c r="D703" i="1" s="1"/>
  <c r="C704" i="1"/>
  <c r="D704" i="1" s="1" a="1"/>
  <c r="D704" i="1" s="1"/>
  <c r="C705" i="1"/>
  <c r="D705" i="1" s="1" a="1"/>
  <c r="D705" i="1" s="1"/>
  <c r="C706" i="1"/>
  <c r="D706" i="1" s="1" a="1"/>
  <c r="D706" i="1" s="1"/>
  <c r="C707" i="1"/>
  <c r="C708" i="1"/>
  <c r="D708" i="1" s="1" a="1"/>
  <c r="D708" i="1" s="1"/>
  <c r="C709" i="1"/>
  <c r="D709" i="1" s="1" a="1"/>
  <c r="D709" i="1" s="1"/>
  <c r="C710" i="1"/>
  <c r="D710" i="1" s="1" a="1"/>
  <c r="D710" i="1" s="1"/>
  <c r="C711" i="1"/>
  <c r="D711" i="1" s="1" a="1"/>
  <c r="D711" i="1" s="1"/>
  <c r="C712" i="1"/>
  <c r="C713" i="1"/>
  <c r="D713" i="1" s="1" a="1"/>
  <c r="D713" i="1" s="1"/>
  <c r="C714" i="1"/>
  <c r="D714" i="1" s="1" a="1"/>
  <c r="D714" i="1" s="1"/>
  <c r="C715" i="1"/>
  <c r="D715" i="1" s="1" a="1"/>
  <c r="D715" i="1" s="1"/>
  <c r="C716" i="1"/>
  <c r="D716" i="1" s="1" a="1"/>
  <c r="D716" i="1" s="1"/>
  <c r="C717" i="1"/>
  <c r="C718" i="1"/>
  <c r="D718" i="1" s="1" a="1"/>
  <c r="D718" i="1" s="1"/>
  <c r="C719" i="1"/>
  <c r="D719" i="1" s="1" a="1"/>
  <c r="D719" i="1" s="1"/>
  <c r="C720" i="1"/>
  <c r="D720" i="1" s="1" a="1"/>
  <c r="D720" i="1" s="1"/>
  <c r="C721" i="1"/>
  <c r="D721" i="1" s="1" a="1"/>
  <c r="D721" i="1" s="1"/>
  <c r="C722" i="1"/>
  <c r="C723" i="1"/>
  <c r="D723" i="1" s="1" a="1"/>
  <c r="D723" i="1" s="1"/>
  <c r="C724" i="1"/>
  <c r="D724" i="1" s="1" a="1"/>
  <c r="D724" i="1" s="1"/>
  <c r="C725" i="1"/>
  <c r="D725" i="1" s="1" a="1"/>
  <c r="D725" i="1" s="1"/>
  <c r="C726" i="1"/>
  <c r="D726" i="1" s="1" a="1"/>
  <c r="D726" i="1" s="1"/>
  <c r="C727" i="1"/>
  <c r="C728" i="1"/>
  <c r="D728" i="1" s="1" a="1"/>
  <c r="D728" i="1" s="1"/>
  <c r="C729" i="1"/>
  <c r="D729" i="1" s="1" a="1"/>
  <c r="D729" i="1" s="1"/>
  <c r="C730" i="1"/>
  <c r="D730" i="1" s="1" a="1"/>
  <c r="D730" i="1" s="1"/>
  <c r="C731" i="1"/>
  <c r="D731" i="1" s="1" a="1"/>
  <c r="D731" i="1" s="1"/>
  <c r="C732" i="1"/>
  <c r="C733" i="1"/>
  <c r="D733" i="1" s="1" a="1"/>
  <c r="D733" i="1" s="1"/>
  <c r="C734" i="1"/>
  <c r="D734" i="1" s="1" a="1"/>
  <c r="D734" i="1" s="1"/>
  <c r="C735" i="1"/>
  <c r="D735" i="1" s="1" a="1"/>
  <c r="D735" i="1" s="1"/>
  <c r="C736" i="1"/>
  <c r="D736" i="1" s="1" a="1"/>
  <c r="D736" i="1" s="1"/>
  <c r="C737" i="1"/>
  <c r="C738" i="1"/>
  <c r="D738" i="1" s="1" a="1"/>
  <c r="D738" i="1" s="1"/>
  <c r="C739" i="1"/>
  <c r="D739" i="1" s="1" a="1"/>
  <c r="D739" i="1" s="1"/>
  <c r="C740" i="1"/>
  <c r="D740" i="1" s="1" a="1"/>
  <c r="D740" i="1" s="1"/>
  <c r="C741" i="1"/>
  <c r="D741" i="1" s="1" a="1"/>
  <c r="D741" i="1" s="1"/>
  <c r="C742" i="1"/>
  <c r="C743" i="1"/>
  <c r="D743" i="1" s="1" a="1"/>
  <c r="D743" i="1" s="1"/>
  <c r="C744" i="1"/>
  <c r="D744" i="1" s="1" a="1"/>
  <c r="D744" i="1" s="1"/>
  <c r="C745" i="1"/>
  <c r="D745" i="1" s="1" a="1"/>
  <c r="D745" i="1" s="1"/>
  <c r="C746" i="1"/>
  <c r="D746" i="1" s="1" a="1"/>
  <c r="D746" i="1" s="1"/>
  <c r="C747" i="1"/>
  <c r="C748" i="1"/>
  <c r="D748" i="1" s="1" a="1"/>
  <c r="D748" i="1" s="1"/>
  <c r="C749" i="1"/>
  <c r="D749" i="1" s="1" a="1"/>
  <c r="D749" i="1" s="1"/>
  <c r="C750" i="1"/>
  <c r="D750" i="1" s="1" a="1"/>
  <c r="D750" i="1" s="1"/>
  <c r="C751" i="1"/>
  <c r="D751" i="1" s="1" a="1"/>
  <c r="D751" i="1" s="1"/>
  <c r="C752" i="1"/>
  <c r="C753" i="1"/>
  <c r="D753" i="1" s="1" a="1"/>
  <c r="D753" i="1" s="1"/>
  <c r="C754" i="1"/>
  <c r="D754" i="1" s="1" a="1"/>
  <c r="D754" i="1" s="1"/>
  <c r="C755" i="1"/>
  <c r="D755" i="1" s="1" a="1"/>
  <c r="D755" i="1" s="1"/>
  <c r="C756" i="1"/>
  <c r="C757" i="1"/>
  <c r="D757" i="1" s="1" a="1"/>
  <c r="D757" i="1" s="1"/>
  <c r="C758" i="1"/>
  <c r="D758" i="1" s="1" a="1"/>
  <c r="D758" i="1" s="1"/>
  <c r="C759" i="1"/>
  <c r="D759" i="1" s="1" a="1"/>
  <c r="D759" i="1" s="1"/>
  <c r="C760" i="1"/>
  <c r="D760" i="1" s="1" a="1"/>
  <c r="D760" i="1" s="1"/>
  <c r="C761" i="1"/>
  <c r="C762" i="1"/>
  <c r="D762" i="1" s="1" a="1"/>
  <c r="D762" i="1" s="1"/>
  <c r="C763" i="1"/>
  <c r="D763" i="1" s="1" a="1"/>
  <c r="D763" i="1" s="1"/>
  <c r="C764" i="1"/>
  <c r="D764" i="1" s="1" a="1"/>
  <c r="D764" i="1" s="1"/>
  <c r="C765" i="1"/>
  <c r="D765" i="1" s="1" a="1"/>
  <c r="D765" i="1" s="1"/>
  <c r="C766" i="1"/>
  <c r="C767" i="1"/>
  <c r="D767" i="1" s="1" a="1"/>
  <c r="D767" i="1" s="1"/>
  <c r="C768" i="1"/>
  <c r="D768" i="1" s="1" a="1"/>
  <c r="D768" i="1" s="1"/>
  <c r="C769" i="1"/>
  <c r="D769" i="1" s="1" a="1"/>
  <c r="D769" i="1" s="1"/>
  <c r="C770" i="1"/>
  <c r="D770" i="1" s="1" a="1"/>
  <c r="D770" i="1" s="1"/>
  <c r="C771" i="1"/>
  <c r="C772" i="1"/>
  <c r="D772" i="1" s="1" a="1"/>
  <c r="D772" i="1" s="1"/>
  <c r="C773" i="1"/>
  <c r="D773" i="1" s="1" a="1"/>
  <c r="D773" i="1" s="1"/>
  <c r="C774" i="1"/>
  <c r="D774" i="1" s="1" a="1"/>
  <c r="D774" i="1" s="1"/>
  <c r="C775" i="1"/>
  <c r="D775" i="1" s="1" a="1"/>
  <c r="D775" i="1" s="1"/>
  <c r="C776" i="1"/>
  <c r="C777" i="1"/>
  <c r="D777" i="1" s="1" a="1"/>
  <c r="D777" i="1" s="1"/>
  <c r="C778" i="1"/>
  <c r="D778" i="1" s="1" a="1"/>
  <c r="D778" i="1" s="1"/>
  <c r="C779" i="1"/>
  <c r="D779" i="1" s="1" a="1"/>
  <c r="D779" i="1" s="1"/>
  <c r="C780" i="1"/>
  <c r="C781" i="1"/>
  <c r="D781" i="1" s="1" a="1"/>
  <c r="D781" i="1" s="1"/>
  <c r="C782" i="1"/>
  <c r="D782" i="1" s="1" a="1"/>
  <c r="D782" i="1" s="1"/>
  <c r="C783" i="1"/>
  <c r="D783" i="1" s="1" a="1"/>
  <c r="D783" i="1" s="1"/>
  <c r="C784" i="1"/>
  <c r="C785" i="1"/>
  <c r="D785" i="1" s="1" a="1"/>
  <c r="D785" i="1" s="1"/>
  <c r="C786" i="1"/>
  <c r="D786" i="1" s="1" a="1"/>
  <c r="D786" i="1" s="1"/>
  <c r="C787" i="1"/>
  <c r="D787" i="1" s="1" a="1"/>
  <c r="D787" i="1" s="1"/>
  <c r="C788" i="1"/>
  <c r="D788" i="1" s="1" a="1"/>
  <c r="D788" i="1" s="1"/>
  <c r="C789" i="1"/>
  <c r="C790" i="1"/>
  <c r="D790" i="1" s="1" a="1"/>
  <c r="D790" i="1" s="1"/>
  <c r="C791" i="1"/>
  <c r="D791" i="1" s="1" a="1"/>
  <c r="D791" i="1" s="1"/>
  <c r="C792" i="1"/>
  <c r="D792" i="1" s="1" a="1"/>
  <c r="D792" i="1" s="1"/>
  <c r="C793" i="1"/>
  <c r="C794" i="1"/>
  <c r="D794" i="1" s="1" a="1"/>
  <c r="D794" i="1" s="1"/>
  <c r="C795" i="1"/>
  <c r="D795" i="1" s="1" a="1"/>
  <c r="D795" i="1" s="1"/>
  <c r="C796" i="1"/>
  <c r="D796" i="1" s="1" a="1"/>
  <c r="D796" i="1" s="1"/>
  <c r="C797" i="1"/>
  <c r="D797" i="1" s="1" a="1"/>
  <c r="D797" i="1" s="1"/>
  <c r="C798" i="1"/>
  <c r="C799" i="1"/>
  <c r="D799" i="1" s="1" a="1"/>
  <c r="D799" i="1" s="1"/>
  <c r="C800" i="1"/>
  <c r="D800" i="1" s="1" a="1"/>
  <c r="D800" i="1" s="1"/>
  <c r="C801" i="1"/>
  <c r="D801" i="1" s="1" a="1"/>
  <c r="D801" i="1" s="1"/>
  <c r="C802" i="1"/>
  <c r="D802" i="1" s="1" a="1"/>
  <c r="D802" i="1" s="1"/>
  <c r="C803" i="1"/>
  <c r="C804" i="1"/>
  <c r="D804" i="1" s="1" a="1"/>
  <c r="D804" i="1" s="1"/>
  <c r="C805" i="1"/>
  <c r="D805" i="1" s="1" a="1"/>
  <c r="D805" i="1" s="1"/>
  <c r="C806" i="1"/>
  <c r="D806" i="1" s="1" a="1"/>
  <c r="D806" i="1" s="1"/>
  <c r="C807" i="1"/>
  <c r="D807" i="1" s="1" a="1"/>
  <c r="D807" i="1" s="1"/>
  <c r="C808" i="1"/>
  <c r="C809" i="1"/>
  <c r="D809" i="1" s="1" a="1"/>
  <c r="D809" i="1" s="1"/>
  <c r="C810" i="1"/>
  <c r="D810" i="1" s="1" a="1"/>
  <c r="D810" i="1" s="1"/>
  <c r="C811" i="1"/>
  <c r="D811" i="1" s="1" a="1"/>
  <c r="D811" i="1" s="1"/>
  <c r="C812" i="1"/>
  <c r="D812" i="1" s="1" a="1"/>
  <c r="D812" i="1" s="1"/>
  <c r="C813" i="1"/>
  <c r="C814" i="1"/>
  <c r="D814" i="1" s="1" a="1"/>
  <c r="D814" i="1" s="1"/>
  <c r="C815" i="1"/>
  <c r="D815" i="1" s="1" a="1"/>
  <c r="D815" i="1" s="1"/>
  <c r="C816" i="1"/>
  <c r="D816" i="1" s="1" a="1"/>
  <c r="D816" i="1" s="1"/>
  <c r="C817" i="1"/>
  <c r="C818" i="1"/>
  <c r="D818" i="1" s="1" a="1"/>
  <c r="D818" i="1" s="1"/>
  <c r="C819" i="1"/>
  <c r="D819" i="1" s="1" a="1"/>
  <c r="D819" i="1" s="1"/>
  <c r="C820" i="1"/>
  <c r="D820" i="1" s="1" a="1"/>
  <c r="D820" i="1" s="1"/>
  <c r="C821" i="1"/>
  <c r="D821" i="1" s="1" a="1"/>
  <c r="D821" i="1" s="1"/>
  <c r="C822" i="1"/>
  <c r="C823" i="1"/>
  <c r="D823" i="1" s="1" a="1"/>
  <c r="D823" i="1" s="1"/>
  <c r="C824" i="1"/>
  <c r="D824" i="1" s="1" a="1"/>
  <c r="D824" i="1" s="1"/>
  <c r="C825" i="1"/>
  <c r="D825" i="1" s="1" a="1"/>
  <c r="D825" i="1" s="1"/>
  <c r="C826" i="1"/>
  <c r="D826" i="1" s="1" a="1"/>
  <c r="D826" i="1" s="1"/>
  <c r="C827" i="1"/>
  <c r="C828" i="1"/>
  <c r="D828" i="1" s="1" a="1"/>
  <c r="D828" i="1" s="1"/>
  <c r="C829" i="1"/>
  <c r="D829" i="1" s="1" a="1"/>
  <c r="D829" i="1" s="1"/>
  <c r="C830" i="1"/>
  <c r="D830" i="1" s="1" a="1"/>
  <c r="D830" i="1" s="1"/>
  <c r="C831" i="1"/>
  <c r="D831" i="1" s="1" a="1"/>
  <c r="D831" i="1" s="1"/>
  <c r="C832" i="1"/>
  <c r="C833" i="1"/>
  <c r="D833" i="1" s="1" a="1"/>
  <c r="D833" i="1" s="1"/>
  <c r="C834" i="1"/>
  <c r="D834" i="1" s="1" a="1"/>
  <c r="D834" i="1" s="1"/>
  <c r="C835" i="1"/>
  <c r="D835" i="1" s="1" a="1"/>
  <c r="D835" i="1" s="1"/>
  <c r="C836" i="1"/>
  <c r="D836" i="1" s="1" a="1"/>
  <c r="D836" i="1" s="1"/>
  <c r="C837" i="1"/>
  <c r="C838" i="1"/>
  <c r="D838" i="1" s="1" a="1"/>
  <c r="D838" i="1" s="1"/>
  <c r="C839" i="1"/>
  <c r="D839" i="1" s="1" a="1"/>
  <c r="D839" i="1" s="1"/>
  <c r="C840" i="1"/>
  <c r="D840" i="1" s="1" a="1"/>
  <c r="D840" i="1" s="1"/>
  <c r="C841" i="1"/>
  <c r="C842" i="1"/>
  <c r="D842" i="1" s="1" a="1"/>
  <c r="D842" i="1" s="1"/>
  <c r="C843" i="1"/>
  <c r="D843" i="1" s="1" a="1"/>
  <c r="D843" i="1" s="1"/>
  <c r="C844" i="1"/>
  <c r="D844" i="1" s="1" a="1"/>
  <c r="D844" i="1" s="1"/>
  <c r="C845" i="1"/>
  <c r="D845" i="1" s="1" a="1"/>
  <c r="D845" i="1" s="1"/>
  <c r="C846" i="1"/>
  <c r="C847" i="1"/>
  <c r="D847" i="1" s="1" a="1"/>
  <c r="D847" i="1" s="1"/>
  <c r="C848" i="1"/>
  <c r="D848" i="1" s="1" a="1"/>
  <c r="D848" i="1" s="1"/>
  <c r="C849" i="1"/>
  <c r="D849" i="1" s="1" a="1"/>
  <c r="D849" i="1" s="1"/>
  <c r="C850" i="1"/>
  <c r="D850" i="1" s="1" a="1"/>
  <c r="D850" i="1" s="1"/>
  <c r="C851" i="1"/>
  <c r="C852" i="1"/>
  <c r="D852" i="1" s="1" a="1"/>
  <c r="D852" i="1" s="1"/>
  <c r="C853" i="1"/>
  <c r="D853" i="1" s="1" a="1"/>
  <c r="D853" i="1" s="1"/>
  <c r="C854" i="1"/>
  <c r="D854" i="1" s="1" a="1"/>
  <c r="D854" i="1" s="1"/>
  <c r="C855" i="1"/>
  <c r="D855" i="1" s="1" a="1"/>
  <c r="D855" i="1" s="1"/>
  <c r="C856" i="1"/>
  <c r="C857" i="1"/>
  <c r="D857" i="1" s="1" a="1"/>
  <c r="D857" i="1" s="1"/>
  <c r="C858" i="1"/>
  <c r="D858" i="1" s="1" a="1"/>
  <c r="D858" i="1" s="1"/>
  <c r="C859" i="1"/>
  <c r="D859" i="1" s="1" a="1"/>
  <c r="D859" i="1" s="1"/>
  <c r="C860" i="1"/>
  <c r="D860" i="1" s="1" a="1"/>
  <c r="D860" i="1" s="1"/>
  <c r="C861" i="1"/>
  <c r="C862" i="1"/>
  <c r="D862" i="1" s="1" a="1"/>
  <c r="D862" i="1" s="1"/>
  <c r="C863" i="1"/>
  <c r="D863" i="1" s="1" a="1"/>
  <c r="D863" i="1" s="1"/>
  <c r="C864" i="1"/>
  <c r="D864" i="1" s="1" a="1"/>
  <c r="D864" i="1" s="1"/>
  <c r="C865" i="1"/>
  <c r="D865" i="1" s="1" a="1"/>
  <c r="D865" i="1" s="1"/>
  <c r="C866" i="1"/>
  <c r="C867" i="1"/>
  <c r="D867" i="1" s="1" a="1"/>
  <c r="D867" i="1" s="1"/>
  <c r="C868" i="1"/>
  <c r="D868" i="1" s="1" a="1"/>
  <c r="D868" i="1" s="1"/>
  <c r="C869" i="1"/>
  <c r="D869" i="1" s="1" a="1"/>
  <c r="D869" i="1" s="1"/>
  <c r="C870" i="1"/>
  <c r="D870" i="1" s="1" a="1"/>
  <c r="D870" i="1" s="1"/>
  <c r="C871" i="1"/>
  <c r="C872" i="1"/>
  <c r="D872" i="1" s="1" a="1"/>
  <c r="D872" i="1" s="1"/>
  <c r="C873" i="1"/>
  <c r="D873" i="1" s="1" a="1"/>
  <c r="D873" i="1" s="1"/>
  <c r="C874" i="1"/>
  <c r="D874" i="1" s="1" a="1"/>
  <c r="D874" i="1" s="1"/>
  <c r="C875" i="1"/>
  <c r="D875" i="1" s="1" a="1"/>
  <c r="D875" i="1" s="1"/>
  <c r="C876" i="1"/>
  <c r="C877" i="1"/>
  <c r="D877" i="1" s="1" a="1"/>
  <c r="D877" i="1" s="1"/>
  <c r="C878" i="1"/>
  <c r="D878" i="1" s="1" a="1"/>
  <c r="D878" i="1" s="1"/>
  <c r="C879" i="1"/>
  <c r="D879" i="1" s="1" a="1"/>
  <c r="D879" i="1" s="1"/>
  <c r="C880" i="1"/>
  <c r="D880" i="1" s="1" a="1"/>
  <c r="D880" i="1" s="1"/>
  <c r="C881" i="1"/>
  <c r="C882" i="1"/>
  <c r="D882" i="1" s="1" a="1"/>
  <c r="D882" i="1" s="1"/>
  <c r="C883" i="1"/>
  <c r="D883" i="1" s="1" a="1"/>
  <c r="D883" i="1" s="1"/>
  <c r="C884" i="1"/>
  <c r="D884" i="1" s="1" a="1"/>
  <c r="D884" i="1" s="1"/>
  <c r="C885" i="1"/>
  <c r="C886" i="1"/>
  <c r="D886" i="1" s="1" a="1"/>
  <c r="D886" i="1" s="1"/>
  <c r="C887" i="1"/>
  <c r="C888" i="1"/>
  <c r="D888" i="1" s="1" a="1"/>
  <c r="D888" i="1" s="1"/>
  <c r="C889" i="1"/>
  <c r="D889" i="1" s="1" a="1"/>
  <c r="D889" i="1" s="1"/>
  <c r="C890" i="1"/>
  <c r="C891" i="1"/>
  <c r="D891" i="1" s="1" a="1"/>
  <c r="D891" i="1" s="1"/>
  <c r="C892" i="1"/>
  <c r="D892" i="1" s="1" a="1"/>
  <c r="D892" i="1" s="1"/>
  <c r="C893" i="1"/>
  <c r="D893" i="1" s="1" a="1"/>
  <c r="D893" i="1" s="1"/>
  <c r="C894" i="1"/>
  <c r="D894" i="1" s="1" a="1"/>
  <c r="D894" i="1" s="1"/>
  <c r="C895" i="1"/>
  <c r="C896" i="1"/>
  <c r="D896" i="1" s="1" a="1"/>
  <c r="D896" i="1" s="1"/>
  <c r="C897" i="1"/>
  <c r="D897" i="1" s="1" a="1"/>
  <c r="D897" i="1" s="1"/>
  <c r="C898" i="1"/>
  <c r="D898" i="1" s="1" a="1"/>
  <c r="D898" i="1" s="1"/>
  <c r="C899" i="1"/>
  <c r="C900" i="1"/>
  <c r="D900" i="1" s="1" a="1"/>
  <c r="D900" i="1" s="1"/>
  <c r="C901" i="1"/>
  <c r="D901" i="1" s="1" a="1"/>
  <c r="D901" i="1" s="1"/>
  <c r="C902" i="1"/>
  <c r="D902" i="1" s="1" a="1"/>
  <c r="D902" i="1" s="1"/>
  <c r="C903" i="1"/>
  <c r="D903" i="1" s="1" a="1"/>
  <c r="D903" i="1" s="1"/>
  <c r="C904" i="1"/>
  <c r="C905" i="1"/>
  <c r="D905" i="1" s="1" a="1"/>
  <c r="D905" i="1" s="1"/>
  <c r="C906" i="1"/>
  <c r="D906" i="1" s="1" a="1"/>
  <c r="D906" i="1" s="1"/>
  <c r="C907" i="1"/>
  <c r="D907" i="1" s="1" a="1"/>
  <c r="D907" i="1" s="1"/>
  <c r="C908" i="1"/>
  <c r="C909" i="1"/>
  <c r="D909" i="1" s="1" a="1"/>
  <c r="D909" i="1" s="1"/>
  <c r="C910" i="1"/>
  <c r="D910" i="1" s="1" a="1"/>
  <c r="D910" i="1" s="1"/>
  <c r="C911" i="1"/>
  <c r="D911" i="1" s="1" a="1"/>
  <c r="D911" i="1" s="1"/>
  <c r="C912" i="1"/>
  <c r="D912" i="1" s="1" a="1"/>
  <c r="D912" i="1" s="1"/>
  <c r="C913" i="1"/>
  <c r="C914" i="1"/>
  <c r="D914" i="1" s="1" a="1"/>
  <c r="D914" i="1" s="1"/>
  <c r="C915" i="1"/>
  <c r="D915" i="1" s="1" a="1"/>
  <c r="D915" i="1" s="1"/>
  <c r="C916" i="1"/>
  <c r="D916" i="1" s="1" a="1"/>
  <c r="D916" i="1" s="1"/>
  <c r="C917" i="1"/>
  <c r="D917" i="1" s="1" a="1"/>
  <c r="D917" i="1" s="1"/>
  <c r="C918" i="1"/>
  <c r="C919" i="1"/>
  <c r="D919" i="1" s="1" a="1"/>
  <c r="D919" i="1" s="1"/>
  <c r="C920" i="1"/>
  <c r="D920" i="1" s="1" a="1"/>
  <c r="D920" i="1" s="1"/>
  <c r="C921" i="1"/>
  <c r="D921" i="1" s="1" a="1"/>
  <c r="D921" i="1" s="1"/>
  <c r="C922" i="1"/>
  <c r="D922" i="1" s="1" a="1"/>
  <c r="D922" i="1" s="1"/>
  <c r="C923" i="1"/>
  <c r="C924" i="1"/>
  <c r="D924" i="1" s="1" a="1"/>
  <c r="D924" i="1" s="1"/>
  <c r="C925" i="1"/>
  <c r="D925" i="1" s="1" a="1"/>
  <c r="D925" i="1" s="1"/>
  <c r="C926" i="1"/>
  <c r="D926" i="1" s="1" a="1"/>
  <c r="D926" i="1" s="1"/>
  <c r="C927" i="1"/>
  <c r="D927" i="1" s="1" a="1"/>
  <c r="D927" i="1" s="1"/>
  <c r="C928" i="1"/>
  <c r="C929" i="1"/>
  <c r="D929" i="1" s="1" a="1"/>
  <c r="D929" i="1" s="1"/>
  <c r="C930" i="1"/>
  <c r="D930" i="1" s="1" a="1"/>
  <c r="D930" i="1" s="1"/>
  <c r="C931" i="1"/>
  <c r="D931" i="1" s="1" a="1"/>
  <c r="D931" i="1" s="1"/>
  <c r="C932" i="1"/>
  <c r="D932" i="1" s="1" a="1"/>
  <c r="D932" i="1" s="1"/>
  <c r="C933" i="1"/>
  <c r="C934" i="1"/>
  <c r="D934" i="1" s="1" a="1"/>
  <c r="D934" i="1" s="1"/>
  <c r="C935" i="1"/>
  <c r="D935" i="1" s="1" a="1"/>
  <c r="D935" i="1" s="1"/>
  <c r="C936" i="1"/>
  <c r="D936" i="1" s="1" a="1"/>
  <c r="D936" i="1" s="1"/>
  <c r="C937" i="1"/>
  <c r="D937" i="1" s="1" a="1"/>
  <c r="D937" i="1" s="1"/>
  <c r="C938" i="1"/>
  <c r="C939" i="1"/>
  <c r="D939" i="1" s="1" a="1"/>
  <c r="D939" i="1" s="1"/>
  <c r="C940" i="1"/>
  <c r="D940" i="1" s="1" a="1"/>
  <c r="D940" i="1" s="1"/>
  <c r="C941" i="1"/>
  <c r="D941" i="1" s="1" a="1"/>
  <c r="D941" i="1" s="1"/>
  <c r="C942" i="1"/>
  <c r="D942" i="1" s="1" a="1"/>
  <c r="D942" i="1" s="1"/>
  <c r="C943" i="1"/>
  <c r="C944" i="1"/>
  <c r="D944" i="1" s="1" a="1"/>
  <c r="D944" i="1" s="1"/>
  <c r="C945" i="1"/>
  <c r="D945" i="1" s="1" a="1"/>
  <c r="D945" i="1" s="1"/>
  <c r="C946" i="1"/>
  <c r="D946" i="1" s="1" a="1"/>
  <c r="D946" i="1" s="1"/>
  <c r="C947" i="1"/>
  <c r="C948" i="1"/>
  <c r="C949" i="1"/>
  <c r="D949" i="1" s="1" a="1"/>
  <c r="D949" i="1" s="1"/>
  <c r="C950" i="1"/>
  <c r="D950" i="1" s="1" a="1"/>
  <c r="D950" i="1" s="1"/>
  <c r="C951" i="1"/>
  <c r="D951" i="1" s="1" a="1"/>
  <c r="D951" i="1" s="1"/>
  <c r="C952" i="1"/>
  <c r="C953" i="1"/>
  <c r="D953" i="1" s="1" a="1"/>
  <c r="D953" i="1" s="1"/>
  <c r="C954" i="1"/>
  <c r="D954" i="1" s="1" a="1"/>
  <c r="D954" i="1" s="1"/>
  <c r="C955" i="1"/>
  <c r="D955" i="1" s="1" a="1"/>
  <c r="D955" i="1" s="1"/>
  <c r="C956" i="1"/>
  <c r="D956" i="1" s="1" a="1"/>
  <c r="D956" i="1" s="1"/>
  <c r="C957" i="1"/>
  <c r="C958" i="1"/>
  <c r="D958" i="1" s="1" a="1"/>
  <c r="D958" i="1" s="1"/>
  <c r="C959" i="1"/>
  <c r="D959" i="1" s="1" a="1"/>
  <c r="D959" i="1" s="1"/>
  <c r="C960" i="1"/>
  <c r="D960" i="1" s="1" a="1"/>
  <c r="D960" i="1" s="1"/>
  <c r="C961" i="1"/>
  <c r="D961" i="1" s="1" a="1"/>
  <c r="D961" i="1" s="1"/>
  <c r="C962" i="1"/>
  <c r="C963" i="1"/>
  <c r="D963" i="1" s="1" a="1"/>
  <c r="D963" i="1" s="1"/>
  <c r="C964" i="1"/>
  <c r="D964" i="1" s="1" a="1"/>
  <c r="D964" i="1" s="1"/>
  <c r="C965" i="1"/>
  <c r="D965" i="1" s="1" a="1"/>
  <c r="D965" i="1" s="1"/>
  <c r="C966" i="1"/>
  <c r="D966" i="1" s="1" a="1"/>
  <c r="D966" i="1" s="1"/>
  <c r="C967" i="1"/>
  <c r="C968" i="1"/>
  <c r="D968" i="1" s="1" a="1"/>
  <c r="D968" i="1" s="1"/>
  <c r="C969" i="1"/>
  <c r="D969" i="1" s="1" a="1"/>
  <c r="D969" i="1" s="1"/>
  <c r="C970" i="1"/>
  <c r="D970" i="1" s="1" a="1"/>
  <c r="D970" i="1" s="1"/>
  <c r="C971" i="1"/>
  <c r="D971" i="1" s="1" a="1"/>
  <c r="D971" i="1" s="1"/>
  <c r="C972" i="1"/>
  <c r="C973" i="1"/>
  <c r="D973" i="1" s="1" a="1"/>
  <c r="D973" i="1" s="1"/>
  <c r="C974" i="1"/>
  <c r="D974" i="1" s="1" a="1"/>
  <c r="D974" i="1" s="1"/>
  <c r="C975" i="1"/>
  <c r="D975" i="1" s="1" a="1"/>
  <c r="D975" i="1" s="1"/>
  <c r="C976" i="1"/>
  <c r="D976" i="1" s="1" a="1"/>
  <c r="D976" i="1" s="1"/>
  <c r="C977" i="1"/>
  <c r="C978" i="1"/>
  <c r="D978" i="1" s="1" a="1"/>
  <c r="D978" i="1" s="1"/>
  <c r="C979" i="1"/>
  <c r="D979" i="1" s="1" a="1"/>
  <c r="D979" i="1" s="1"/>
  <c r="C980" i="1"/>
  <c r="D980" i="1" s="1" a="1"/>
  <c r="D980" i="1" s="1"/>
  <c r="C981" i="1"/>
  <c r="D981" i="1" s="1" a="1"/>
  <c r="D981" i="1" s="1"/>
  <c r="C982" i="1"/>
  <c r="C983" i="1"/>
  <c r="D983" i="1" s="1" a="1"/>
  <c r="D983" i="1" s="1"/>
  <c r="C984" i="1"/>
  <c r="D984" i="1" s="1" a="1"/>
  <c r="D984" i="1" s="1"/>
  <c r="C985" i="1"/>
  <c r="D985" i="1" s="1" a="1"/>
  <c r="D985" i="1" s="1"/>
  <c r="C986" i="1"/>
  <c r="D986" i="1" s="1" a="1"/>
  <c r="D986" i="1" s="1"/>
  <c r="C987" i="1"/>
  <c r="C988" i="1"/>
  <c r="D988" i="1" s="1" a="1"/>
  <c r="D988" i="1" s="1"/>
  <c r="C989" i="1"/>
  <c r="D989" i="1" s="1" a="1"/>
  <c r="D989" i="1" s="1"/>
  <c r="C990" i="1"/>
  <c r="D990" i="1" s="1" a="1"/>
  <c r="D990" i="1" s="1"/>
  <c r="C991" i="1"/>
  <c r="D991" i="1" s="1" a="1"/>
  <c r="D991" i="1" s="1"/>
  <c r="C992" i="1"/>
  <c r="C993" i="1"/>
  <c r="D993" i="1" s="1" a="1"/>
  <c r="D993" i="1" s="1"/>
  <c r="C994" i="1"/>
  <c r="D994" i="1" s="1" a="1"/>
  <c r="D994" i="1" s="1"/>
  <c r="C995" i="1"/>
  <c r="D995" i="1" s="1" a="1"/>
  <c r="D995" i="1" s="1"/>
  <c r="C996" i="1"/>
  <c r="D996" i="1" s="1" a="1"/>
  <c r="D996" i="1" s="1"/>
  <c r="C997" i="1"/>
  <c r="C998" i="1"/>
  <c r="D998" i="1" s="1" a="1"/>
  <c r="D998" i="1" s="1"/>
  <c r="C999" i="1"/>
  <c r="D999" i="1" s="1" a="1"/>
  <c r="D999" i="1" s="1"/>
  <c r="C1000" i="1"/>
  <c r="D1000" i="1" s="1" a="1"/>
  <c r="D1000" i="1" s="1"/>
  <c r="C1001" i="1"/>
  <c r="D1001" i="1" s="1" a="1"/>
  <c r="D1001" i="1" s="1"/>
  <c r="C1002" i="1"/>
  <c r="C1003" i="1"/>
  <c r="D1003" i="1" s="1" a="1"/>
  <c r="D1003" i="1" s="1"/>
  <c r="C1004" i="1"/>
  <c r="D1004" i="1" s="1" a="1"/>
  <c r="D1004" i="1" s="1"/>
  <c r="C1005" i="1"/>
  <c r="D1005" i="1" s="1" a="1"/>
  <c r="D1005" i="1" s="1"/>
  <c r="C1006" i="1"/>
  <c r="D1006" i="1" s="1" a="1"/>
  <c r="D1006" i="1" s="1"/>
  <c r="C1007" i="1"/>
  <c r="C1008" i="1"/>
  <c r="D1008" i="1" s="1" a="1"/>
  <c r="D1008" i="1" s="1"/>
  <c r="C1009" i="1"/>
  <c r="D1009" i="1" s="1" a="1"/>
  <c r="D1009" i="1" s="1"/>
  <c r="C1010" i="1"/>
  <c r="D1010" i="1" s="1" a="1"/>
  <c r="D1010" i="1" s="1"/>
  <c r="C1011" i="1"/>
  <c r="C1012" i="1"/>
  <c r="D1012" i="1" s="1" a="1"/>
  <c r="D1012" i="1" s="1"/>
  <c r="C1013" i="1"/>
  <c r="D1013" i="1" s="1" a="1"/>
  <c r="D1013" i="1" s="1"/>
  <c r="C1014" i="1"/>
  <c r="D1014" i="1" s="1" a="1"/>
  <c r="D1014" i="1" s="1"/>
  <c r="C1015" i="1"/>
  <c r="D1015" i="1" s="1" a="1"/>
  <c r="D1015" i="1" s="1"/>
  <c r="C1016" i="1"/>
  <c r="C1017" i="1"/>
  <c r="D1017" i="1" s="1" a="1"/>
  <c r="D1017" i="1" s="1"/>
  <c r="C1018" i="1"/>
  <c r="D1018" i="1" s="1" a="1"/>
  <c r="D1018" i="1" s="1"/>
  <c r="C1019" i="1"/>
  <c r="D1019" i="1" s="1" a="1"/>
  <c r="D1019" i="1" s="1"/>
  <c r="C1020" i="1"/>
  <c r="D1020" i="1" s="1" a="1"/>
  <c r="D1020" i="1" s="1"/>
  <c r="C1021" i="1"/>
  <c r="C1022" i="1"/>
  <c r="D1022" i="1" s="1" a="1"/>
  <c r="D1022" i="1" s="1"/>
  <c r="C1023" i="1"/>
  <c r="D1023" i="1" s="1" a="1"/>
  <c r="D1023" i="1" s="1"/>
  <c r="C1024" i="1"/>
  <c r="D1024" i="1" s="1" a="1"/>
  <c r="D1024" i="1" s="1"/>
  <c r="C1025" i="1"/>
  <c r="D1025" i="1" s="1" a="1"/>
  <c r="D1025" i="1" s="1"/>
  <c r="C1026" i="1"/>
  <c r="C1027" i="1"/>
  <c r="D1027" i="1" s="1" a="1"/>
  <c r="D1027" i="1" s="1"/>
  <c r="C1028" i="1"/>
  <c r="D1028" i="1" s="1" a="1"/>
  <c r="D1028" i="1" s="1"/>
  <c r="C1029" i="1"/>
  <c r="D1029" i="1" s="1" a="1"/>
  <c r="D1029" i="1" s="1"/>
  <c r="C1030" i="1"/>
  <c r="C1031" i="1"/>
  <c r="D1031" i="1" s="1" a="1"/>
  <c r="D1031" i="1" s="1"/>
  <c r="C1032" i="1"/>
  <c r="C1033" i="1"/>
  <c r="D1033" i="1" s="1" a="1"/>
  <c r="D1033" i="1" s="1"/>
  <c r="C1034" i="1"/>
  <c r="C1035" i="1"/>
  <c r="D1035" i="1" s="1" a="1"/>
  <c r="D1035" i="1" s="1"/>
  <c r="C1036" i="1"/>
  <c r="D1036" i="1" s="1" a="1"/>
  <c r="D1036" i="1" s="1"/>
  <c r="C1037" i="1"/>
  <c r="D1037" i="1" s="1" a="1"/>
  <c r="D1037" i="1" s="1"/>
  <c r="C1038" i="1"/>
  <c r="C1039" i="1"/>
  <c r="D1039" i="1" s="1" a="1"/>
  <c r="D1039" i="1" s="1"/>
  <c r="C1040" i="1"/>
  <c r="D1040" i="1" s="1" a="1"/>
  <c r="D1040" i="1" s="1"/>
  <c r="C1041" i="1"/>
  <c r="D1041" i="1" s="1" a="1"/>
  <c r="D1041" i="1" s="1"/>
  <c r="C1042" i="1"/>
  <c r="D1042" i="1" s="1" a="1"/>
  <c r="D1042" i="1" s="1"/>
  <c r="C1043" i="1"/>
  <c r="C1044" i="1"/>
  <c r="D1044" i="1" s="1" a="1"/>
  <c r="D1044" i="1" s="1"/>
  <c r="C1045" i="1"/>
  <c r="D1045" i="1" s="1" a="1"/>
  <c r="D1045" i="1" s="1"/>
  <c r="C1046" i="1"/>
  <c r="D1046" i="1" s="1" a="1"/>
  <c r="D1046" i="1" s="1"/>
  <c r="C1047" i="1"/>
  <c r="C1048" i="1"/>
  <c r="D1048" i="1" s="1" a="1"/>
  <c r="D1048" i="1" s="1"/>
  <c r="C1049" i="1"/>
  <c r="D1049" i="1" s="1" a="1"/>
  <c r="D1049" i="1" s="1"/>
  <c r="C1050" i="1"/>
  <c r="D1050" i="1" s="1" a="1"/>
  <c r="D1050" i="1" s="1"/>
  <c r="C1051" i="1"/>
  <c r="D1051" i="1" s="1" a="1"/>
  <c r="D1051" i="1" s="1"/>
  <c r="C1052" i="1"/>
  <c r="C1053" i="1"/>
  <c r="D1053" i="1" s="1" a="1"/>
  <c r="D1053" i="1" s="1"/>
  <c r="C1054" i="1"/>
  <c r="D1054" i="1" s="1" a="1"/>
  <c r="D1054" i="1" s="1"/>
  <c r="C1055" i="1"/>
  <c r="D1055" i="1" s="1" a="1"/>
  <c r="D1055" i="1" s="1"/>
  <c r="C1056" i="1"/>
  <c r="D1056" i="1" s="1" a="1"/>
  <c r="D1056" i="1" s="1"/>
  <c r="C1057" i="1"/>
  <c r="C1058" i="1"/>
  <c r="D1058" i="1" s="1" a="1"/>
  <c r="D1058" i="1" s="1"/>
  <c r="C1059" i="1"/>
  <c r="D1059" i="1" s="1" a="1"/>
  <c r="D1059" i="1" s="1"/>
  <c r="C1060" i="1"/>
  <c r="D1060" i="1" s="1" a="1"/>
  <c r="D1060" i="1" s="1"/>
  <c r="C1061" i="1"/>
  <c r="D1061" i="1" s="1" a="1"/>
  <c r="D1061" i="1" s="1"/>
  <c r="C1062" i="1"/>
  <c r="C1063" i="1"/>
  <c r="D1063" i="1" s="1" a="1"/>
  <c r="D1063" i="1" s="1"/>
  <c r="C1064" i="1"/>
  <c r="D1064" i="1" s="1" a="1"/>
  <c r="D1064" i="1" s="1"/>
  <c r="C1065" i="1"/>
  <c r="D1065" i="1" s="1" a="1"/>
  <c r="D1065" i="1" s="1"/>
  <c r="C1066" i="1"/>
  <c r="C1067" i="1"/>
  <c r="D1067" i="1" s="1" a="1"/>
  <c r="D1067" i="1" s="1"/>
  <c r="C1068" i="1"/>
  <c r="D1068" i="1" s="1" a="1"/>
  <c r="D1068" i="1" s="1"/>
  <c r="C1069" i="1"/>
  <c r="D1069" i="1" s="1" a="1"/>
  <c r="D1069" i="1" s="1"/>
  <c r="C1070" i="1"/>
  <c r="D1070" i="1" s="1" a="1"/>
  <c r="D1070" i="1" s="1"/>
  <c r="C1071" i="1"/>
  <c r="C1072" i="1"/>
  <c r="D1072" i="1" s="1" a="1"/>
  <c r="D1072" i="1" s="1"/>
  <c r="C1073" i="1"/>
  <c r="D1073" i="1" s="1" a="1"/>
  <c r="D1073" i="1" s="1"/>
  <c r="C1074" i="1"/>
  <c r="D1074" i="1" s="1" a="1"/>
  <c r="D1074" i="1" s="1"/>
  <c r="C1075" i="1"/>
  <c r="D1075" i="1" s="1" a="1"/>
  <c r="D1075" i="1" s="1"/>
  <c r="C1076" i="1"/>
  <c r="C1077" i="1"/>
  <c r="D1077" i="1" s="1" a="1"/>
  <c r="D1077" i="1" s="1"/>
  <c r="C1078" i="1"/>
  <c r="D1078" i="1" s="1" a="1"/>
  <c r="D1078" i="1" s="1"/>
  <c r="C1079" i="1"/>
  <c r="D1079" i="1" s="1" a="1"/>
  <c r="D1079" i="1" s="1"/>
  <c r="C1080" i="1"/>
  <c r="D1080" i="1" s="1" a="1"/>
  <c r="D1080" i="1" s="1"/>
  <c r="C1081" i="1"/>
  <c r="C1082" i="1"/>
  <c r="D1082" i="1" s="1" a="1"/>
  <c r="D1082" i="1" s="1"/>
  <c r="C1083" i="1"/>
  <c r="D1083" i="1" s="1" a="1"/>
  <c r="D1083" i="1" s="1"/>
  <c r="C1084" i="1"/>
  <c r="D1084" i="1" s="1" a="1"/>
  <c r="D1084" i="1" s="1"/>
  <c r="C1085" i="1"/>
  <c r="D1085" i="1" s="1" a="1"/>
  <c r="D1085" i="1" s="1"/>
  <c r="C1086" i="1"/>
  <c r="C1087" i="1"/>
  <c r="D1087" i="1" s="1" a="1"/>
  <c r="D1087" i="1" s="1"/>
  <c r="C1088" i="1"/>
  <c r="D1088" i="1" s="1" a="1"/>
  <c r="D1088" i="1" s="1"/>
  <c r="C1089" i="1"/>
  <c r="D1089" i="1" s="1" a="1"/>
  <c r="D1089" i="1" s="1"/>
  <c r="C1090" i="1"/>
  <c r="D1090" i="1" s="1" a="1"/>
  <c r="D1090" i="1" s="1"/>
  <c r="C1091" i="1"/>
  <c r="D1091" i="1" s="1" a="1"/>
  <c r="D1091" i="1" s="1"/>
  <c r="C1092" i="1"/>
  <c r="D1092" i="1" s="1" a="1"/>
  <c r="D1092" i="1" s="1"/>
  <c r="C1093" i="1"/>
  <c r="D1093" i="1" s="1" a="1"/>
  <c r="D1093" i="1" s="1"/>
  <c r="C1094" i="1"/>
  <c r="D1094" i="1" s="1" a="1"/>
  <c r="D1094" i="1" s="1"/>
  <c r="C1095" i="1"/>
  <c r="D1095" i="1" s="1" a="1"/>
  <c r="D1095" i="1" s="1"/>
  <c r="C1096" i="1"/>
  <c r="C1097" i="1"/>
  <c r="D1097" i="1" s="1" a="1"/>
  <c r="D1097" i="1" s="1"/>
  <c r="C1098" i="1"/>
  <c r="D1098" i="1" s="1" a="1"/>
  <c r="D1098" i="1" s="1"/>
  <c r="C1099" i="1"/>
  <c r="D1099" i="1" s="1" a="1"/>
  <c r="D1099" i="1" s="1"/>
  <c r="C1100" i="1"/>
  <c r="D1100" i="1" s="1" a="1"/>
  <c r="D1100" i="1" s="1"/>
  <c r="C1101" i="1"/>
  <c r="C1102" i="1"/>
  <c r="D1102" i="1" s="1" a="1"/>
  <c r="D1102" i="1" s="1"/>
  <c r="C1103" i="1"/>
  <c r="D1103" i="1" s="1" a="1"/>
  <c r="D1103" i="1" s="1"/>
  <c r="C1104" i="1"/>
  <c r="D1104" i="1" s="1" a="1"/>
  <c r="D1104" i="1" s="1"/>
  <c r="C1105" i="1"/>
  <c r="C1106" i="1"/>
  <c r="D1106" i="1" s="1" a="1"/>
  <c r="D1106" i="1" s="1"/>
  <c r="C1107" i="1"/>
  <c r="D1107" i="1" s="1" a="1"/>
  <c r="D1107" i="1" s="1"/>
  <c r="C1108" i="1"/>
  <c r="D1108" i="1" s="1" a="1"/>
  <c r="D1108" i="1" s="1"/>
  <c r="C1109" i="1"/>
  <c r="D1109" i="1" s="1" a="1"/>
  <c r="D1109" i="1" s="1"/>
  <c r="C1110" i="1"/>
  <c r="C1111" i="1"/>
  <c r="D1111" i="1" s="1" a="1"/>
  <c r="D1111" i="1" s="1"/>
  <c r="C1112" i="1"/>
  <c r="D1112" i="1" s="1" a="1"/>
  <c r="D1112" i="1" s="1"/>
  <c r="C1113" i="1"/>
  <c r="D1113" i="1" s="1" a="1"/>
  <c r="D1113" i="1" s="1"/>
  <c r="C1114" i="1"/>
  <c r="D1114" i="1" s="1" a="1"/>
  <c r="D1114" i="1" s="1"/>
  <c r="C1115" i="1"/>
  <c r="C1116" i="1"/>
  <c r="D1116" i="1" s="1" a="1"/>
  <c r="D1116" i="1" s="1"/>
  <c r="C1117" i="1"/>
  <c r="D1117" i="1" s="1" a="1"/>
  <c r="D1117" i="1" s="1"/>
  <c r="C1118" i="1"/>
  <c r="D1118" i="1" s="1" a="1"/>
  <c r="D1118" i="1" s="1"/>
  <c r="C1119" i="1"/>
  <c r="D1119" i="1" s="1" a="1"/>
  <c r="D1119" i="1" s="1"/>
  <c r="C1120" i="1"/>
  <c r="C1121" i="1"/>
  <c r="D1121" i="1" s="1" a="1"/>
  <c r="D1121" i="1" s="1"/>
  <c r="C1122" i="1"/>
  <c r="D1122" i="1" s="1" a="1"/>
  <c r="D1122" i="1" s="1"/>
  <c r="C1123" i="1"/>
  <c r="D1123" i="1" s="1" a="1"/>
  <c r="D1123" i="1" s="1"/>
  <c r="C1124" i="1"/>
  <c r="D1124" i="1" s="1" a="1"/>
  <c r="D1124" i="1" s="1"/>
  <c r="C1125" i="1"/>
  <c r="C1126" i="1"/>
  <c r="D1126" i="1" s="1" a="1"/>
  <c r="D1126" i="1" s="1"/>
  <c r="C1127" i="1"/>
  <c r="D1127" i="1" s="1" a="1"/>
  <c r="D1127" i="1" s="1"/>
  <c r="C1128" i="1"/>
  <c r="D1128" i="1" s="1" a="1"/>
  <c r="D1128" i="1" s="1"/>
  <c r="C1129" i="1"/>
  <c r="D1129" i="1" s="1" a="1"/>
  <c r="D1129" i="1" s="1"/>
  <c r="C1130" i="1"/>
  <c r="C1131" i="1"/>
  <c r="D1131" i="1" s="1" a="1"/>
  <c r="D1131" i="1" s="1"/>
  <c r="C1132" i="1"/>
  <c r="D1132" i="1" s="1" a="1"/>
  <c r="D1132" i="1" s="1"/>
  <c r="C1133" i="1"/>
  <c r="D1133" i="1" s="1" a="1"/>
  <c r="D1133" i="1" s="1"/>
  <c r="C1134" i="1"/>
  <c r="C1135" i="1"/>
  <c r="D1135" i="1" s="1" a="1"/>
  <c r="D1135" i="1" s="1"/>
  <c r="C1136" i="1"/>
  <c r="D1136" i="1" s="1" a="1"/>
  <c r="D1136" i="1" s="1"/>
  <c r="C1137" i="1"/>
  <c r="D1137" i="1" s="1" a="1"/>
  <c r="D1137" i="1" s="1"/>
  <c r="C1138" i="1"/>
  <c r="D1138" i="1" s="1" a="1"/>
  <c r="D1138" i="1" s="1"/>
  <c r="C1139" i="1"/>
  <c r="C1140" i="1"/>
  <c r="D1140" i="1" s="1" a="1"/>
  <c r="D1140" i="1" s="1"/>
  <c r="C1141" i="1"/>
  <c r="D1141" i="1" s="1" a="1"/>
  <c r="D1141" i="1" s="1"/>
  <c r="C1142" i="1"/>
  <c r="D1142" i="1" s="1" a="1"/>
  <c r="D1142" i="1" s="1"/>
  <c r="C1143" i="1"/>
  <c r="D1143" i="1" s="1" a="1"/>
  <c r="D1143" i="1" s="1"/>
  <c r="C1144" i="1"/>
  <c r="C1145" i="1"/>
  <c r="D1145" i="1" s="1" a="1"/>
  <c r="D1145" i="1" s="1"/>
  <c r="C1146" i="1"/>
  <c r="D1146" i="1" s="1" a="1"/>
  <c r="D1146" i="1" s="1"/>
  <c r="C1147" i="1"/>
  <c r="D1147" i="1" s="1" a="1"/>
  <c r="D1147" i="1" s="1"/>
  <c r="C1148" i="1"/>
  <c r="C1149" i="1"/>
  <c r="D1149" i="1" s="1" a="1"/>
  <c r="D1149" i="1" s="1"/>
  <c r="C1150" i="1"/>
  <c r="D1150" i="1" s="1" a="1"/>
  <c r="D1150" i="1" s="1"/>
  <c r="C1151" i="1"/>
  <c r="D1151" i="1" s="1" a="1"/>
  <c r="D1151" i="1" s="1"/>
  <c r="C1152" i="1"/>
  <c r="D1152" i="1" s="1" a="1"/>
  <c r="D1152" i="1" s="1"/>
  <c r="C1153" i="1"/>
  <c r="C1154" i="1"/>
  <c r="D1154" i="1" s="1" a="1"/>
  <c r="D1154" i="1" s="1"/>
  <c r="C1155" i="1"/>
  <c r="D1155" i="1" s="1" a="1"/>
  <c r="D1155" i="1" s="1"/>
  <c r="C1156" i="1"/>
  <c r="D1156" i="1" s="1" a="1"/>
  <c r="D1156" i="1" s="1"/>
  <c r="C1157" i="1"/>
  <c r="C1158" i="1"/>
  <c r="D1158" i="1" s="1" a="1"/>
  <c r="D1158" i="1" s="1"/>
  <c r="C1159" i="1"/>
  <c r="D1159" i="1" s="1" a="1"/>
  <c r="D1159" i="1" s="1"/>
  <c r="C1160" i="1"/>
  <c r="D1160" i="1" s="1" a="1"/>
  <c r="D1160" i="1" s="1"/>
  <c r="C1161" i="1"/>
  <c r="D1161" i="1" s="1" a="1"/>
  <c r="D1161" i="1" s="1"/>
  <c r="C1162" i="1"/>
  <c r="C1163" i="1"/>
  <c r="D1163" i="1" s="1" a="1"/>
  <c r="D1163" i="1" s="1"/>
  <c r="C1164" i="1"/>
  <c r="D1164" i="1" s="1" a="1"/>
  <c r="D1164" i="1" s="1"/>
  <c r="C1165" i="1"/>
  <c r="D1165" i="1" s="1" a="1"/>
  <c r="D1165" i="1" s="1"/>
  <c r="C1166" i="1"/>
  <c r="D1166" i="1" s="1" a="1"/>
  <c r="D1166" i="1" s="1"/>
  <c r="C1167" i="1"/>
  <c r="C1168" i="1"/>
  <c r="D1168" i="1" s="1" a="1"/>
  <c r="D1168" i="1" s="1"/>
  <c r="C1169" i="1"/>
  <c r="D1169" i="1" s="1" a="1"/>
  <c r="D1169" i="1" s="1"/>
  <c r="C1170" i="1"/>
  <c r="D1170" i="1" s="1" a="1"/>
  <c r="D1170" i="1" s="1"/>
  <c r="C1171" i="1"/>
  <c r="D1171" i="1" s="1" a="1"/>
  <c r="D1171" i="1" s="1"/>
  <c r="C1172" i="1"/>
  <c r="C1173" i="1"/>
  <c r="D1173" i="1" s="1" a="1"/>
  <c r="D1173" i="1" s="1"/>
  <c r="C1174" i="1"/>
  <c r="D1174" i="1" s="1" a="1"/>
  <c r="D1174" i="1" s="1"/>
  <c r="C1175" i="1"/>
  <c r="D1175" i="1" s="1" a="1"/>
  <c r="D1175" i="1" s="1"/>
  <c r="C1176" i="1"/>
  <c r="D1176" i="1" s="1" a="1"/>
  <c r="D1176" i="1" s="1"/>
  <c r="C1177" i="1"/>
  <c r="D1177" i="1" s="1" a="1"/>
  <c r="D1177" i="1" s="1"/>
  <c r="C1178" i="1"/>
  <c r="D1178" i="1" s="1" a="1"/>
  <c r="D1178" i="1" s="1"/>
  <c r="C1179" i="1"/>
  <c r="D1179" i="1" s="1" a="1"/>
  <c r="D1179" i="1" s="1"/>
  <c r="C1180" i="1"/>
  <c r="D1180" i="1" s="1" a="1"/>
  <c r="D1180" i="1" s="1"/>
  <c r="C1181" i="1"/>
  <c r="D1181" i="1" s="1" a="1"/>
  <c r="D1181" i="1" s="1"/>
  <c r="C1182" i="1"/>
  <c r="C1183" i="1"/>
  <c r="D1183" i="1" s="1" a="1"/>
  <c r="D1183" i="1" s="1"/>
  <c r="C1184" i="1"/>
  <c r="D1184" i="1" s="1" a="1"/>
  <c r="D1184" i="1" s="1"/>
  <c r="C1185" i="1"/>
  <c r="D1185" i="1" s="1" a="1"/>
  <c r="D1185" i="1" s="1"/>
  <c r="C1186" i="1"/>
  <c r="D1186" i="1" s="1" a="1"/>
  <c r="D1186" i="1" s="1"/>
  <c r="C1187" i="1"/>
  <c r="C1188" i="1"/>
  <c r="D1188" i="1" s="1" a="1"/>
  <c r="D1188" i="1" s="1"/>
  <c r="C1189" i="1"/>
  <c r="D1189" i="1" s="1" a="1"/>
  <c r="D1189" i="1" s="1"/>
  <c r="C1190" i="1"/>
  <c r="D1190" i="1" s="1" a="1"/>
  <c r="D1190" i="1" s="1"/>
  <c r="C1191" i="1"/>
  <c r="D1191" i="1" s="1" a="1"/>
  <c r="D1191" i="1" s="1"/>
  <c r="C1192" i="1"/>
  <c r="C1193" i="1"/>
  <c r="D1193" i="1" s="1" a="1"/>
  <c r="D1193" i="1" s="1"/>
  <c r="C1194" i="1"/>
  <c r="D1194" i="1" s="1" a="1"/>
  <c r="D1194" i="1" s="1"/>
  <c r="C1195" i="1"/>
  <c r="D1195" i="1" s="1" a="1"/>
  <c r="D1195" i="1" s="1"/>
  <c r="C1196" i="1"/>
  <c r="D1196" i="1" s="1" a="1"/>
  <c r="D1196" i="1" s="1"/>
  <c r="C1197" i="1"/>
  <c r="C1198" i="1"/>
  <c r="D1198" i="1" s="1" a="1"/>
  <c r="D1198" i="1" s="1"/>
  <c r="C1199" i="1"/>
  <c r="D1199" i="1" s="1" a="1"/>
  <c r="D1199" i="1" s="1"/>
  <c r="C1200" i="1"/>
  <c r="D1200" i="1" s="1" a="1"/>
  <c r="D1200" i="1" s="1"/>
  <c r="C1201" i="1"/>
  <c r="D1201" i="1" s="1" a="1"/>
  <c r="D1201" i="1" s="1"/>
  <c r="C1202" i="1"/>
  <c r="D1202" i="1" s="1" a="1"/>
  <c r="D1202" i="1" s="1"/>
  <c r="C1203" i="1"/>
  <c r="D1203" i="1" s="1" a="1"/>
  <c r="D1203" i="1" s="1"/>
  <c r="C1204" i="1"/>
  <c r="D1204" i="1" s="1" a="1"/>
  <c r="D1204" i="1" s="1"/>
  <c r="C1205" i="1"/>
  <c r="D1205" i="1" s="1" a="1"/>
  <c r="D1205" i="1" s="1"/>
  <c r="C1206" i="1"/>
  <c r="C1207" i="1"/>
  <c r="D1207" i="1" s="1" a="1"/>
  <c r="D1207" i="1" s="1"/>
  <c r="C1208" i="1"/>
  <c r="D1208" i="1" s="1" a="1"/>
  <c r="D1208" i="1" s="1"/>
  <c r="C1209" i="1"/>
  <c r="D1209" i="1" s="1" a="1"/>
  <c r="D1209" i="1" s="1"/>
  <c r="C1210" i="1"/>
  <c r="D1210" i="1" s="1" a="1"/>
  <c r="D1210" i="1" s="1"/>
  <c r="C1211" i="1"/>
  <c r="C1212" i="1"/>
  <c r="D1212" i="1" s="1" a="1"/>
  <c r="D1212" i="1" s="1"/>
  <c r="C1213" i="1"/>
  <c r="D1213" i="1" s="1" a="1"/>
  <c r="D1213" i="1" s="1"/>
  <c r="C1214" i="1"/>
  <c r="D1214" i="1" s="1" a="1"/>
  <c r="D1214" i="1" s="1"/>
  <c r="C1215" i="1"/>
  <c r="D1215" i="1" s="1" a="1"/>
  <c r="D1215" i="1" s="1"/>
  <c r="C1216" i="1"/>
  <c r="C1217" i="1"/>
  <c r="D1217" i="1" s="1" a="1"/>
  <c r="D1217" i="1" s="1"/>
  <c r="C1218" i="1"/>
  <c r="D1218" i="1" s="1" a="1"/>
  <c r="D1218" i="1" s="1"/>
  <c r="C1219" i="1"/>
  <c r="D1219" i="1" s="1" a="1"/>
  <c r="D1219" i="1" s="1"/>
  <c r="C1220" i="1"/>
  <c r="D1220" i="1" s="1" a="1"/>
  <c r="D1220" i="1" s="1"/>
  <c r="C1221" i="1"/>
  <c r="C1222" i="1"/>
  <c r="D1222" i="1" s="1" a="1"/>
  <c r="D1222" i="1" s="1"/>
  <c r="C1223" i="1"/>
  <c r="D1223" i="1" s="1" a="1"/>
  <c r="D1223" i="1" s="1"/>
  <c r="C1224" i="1"/>
  <c r="D1224" i="1" s="1" a="1"/>
  <c r="D1224" i="1" s="1"/>
  <c r="C1225" i="1"/>
  <c r="D1225" i="1" s="1" a="1"/>
  <c r="D1225" i="1" s="1"/>
  <c r="C1226" i="1"/>
  <c r="C1227" i="1"/>
  <c r="D1227" i="1" s="1" a="1"/>
  <c r="D1227" i="1" s="1"/>
  <c r="C1228" i="1"/>
  <c r="D1228" i="1" s="1" a="1"/>
  <c r="D1228" i="1" s="1"/>
  <c r="C1229" i="1"/>
  <c r="D1229" i="1" s="1" a="1"/>
  <c r="D1229" i="1" s="1"/>
  <c r="C1230" i="1"/>
  <c r="D1230" i="1" s="1" a="1"/>
  <c r="D1230" i="1" s="1"/>
  <c r="C1231" i="1"/>
  <c r="C1232" i="1"/>
  <c r="D1232" i="1" s="1" a="1"/>
  <c r="D1232" i="1" s="1"/>
  <c r="C1233" i="1"/>
  <c r="D1233" i="1" s="1" a="1"/>
  <c r="D1233" i="1" s="1"/>
  <c r="C1234" i="1"/>
  <c r="D1234" i="1" s="1" a="1"/>
  <c r="D1234" i="1" s="1"/>
  <c r="C1235" i="1"/>
  <c r="D1235" i="1" s="1" a="1"/>
  <c r="D1235" i="1" s="1"/>
  <c r="C1236" i="1"/>
  <c r="C1237" i="1"/>
  <c r="D1237" i="1" s="1" a="1"/>
  <c r="D1237" i="1" s="1"/>
  <c r="C1238" i="1"/>
  <c r="D1238" i="1" s="1" a="1"/>
  <c r="D1238" i="1" s="1"/>
  <c r="C1239" i="1"/>
  <c r="D1239" i="1" s="1" a="1"/>
  <c r="D1239" i="1" s="1"/>
  <c r="C1240" i="1"/>
  <c r="D1240" i="1" s="1" a="1"/>
  <c r="D1240" i="1" s="1"/>
  <c r="C1241" i="1"/>
  <c r="C1242" i="1"/>
  <c r="D1242" i="1" s="1" a="1"/>
  <c r="D1242" i="1" s="1"/>
  <c r="C1243" i="1"/>
  <c r="D1243" i="1" s="1" a="1"/>
  <c r="D1243" i="1" s="1"/>
  <c r="C1244" i="1"/>
  <c r="D1244" i="1" s="1" a="1"/>
  <c r="D1244" i="1" s="1"/>
  <c r="C1245" i="1"/>
  <c r="D1245" i="1" s="1" a="1"/>
  <c r="D1245" i="1" s="1"/>
  <c r="C1246" i="1"/>
  <c r="C1247" i="1"/>
  <c r="D1247" i="1" s="1" a="1"/>
  <c r="D1247" i="1" s="1"/>
  <c r="C1248" i="1"/>
  <c r="D1248" i="1" s="1" a="1"/>
  <c r="D1248" i="1" s="1"/>
  <c r="C1249" i="1"/>
  <c r="D1249" i="1" s="1" a="1"/>
  <c r="D1249" i="1" s="1"/>
  <c r="C1250" i="1"/>
  <c r="D1250" i="1" s="1" a="1"/>
  <c r="D1250" i="1" s="1"/>
  <c r="C1251" i="1"/>
  <c r="C1252" i="1"/>
  <c r="D1252" i="1" s="1" a="1"/>
  <c r="D1252" i="1" s="1"/>
  <c r="C1253" i="1"/>
  <c r="D1253" i="1" s="1" a="1"/>
  <c r="D1253" i="1" s="1"/>
  <c r="C1254" i="1"/>
  <c r="D1254" i="1" s="1" a="1"/>
  <c r="D1254" i="1" s="1"/>
  <c r="C1255" i="1"/>
  <c r="D1255" i="1" s="1" a="1"/>
  <c r="D1255" i="1" s="1"/>
  <c r="C1256" i="1"/>
  <c r="C2" i="1"/>
  <c r="D2" i="1" s="1" a="1"/>
  <c r="D2" i="1" s="1"/>
  <c r="D19" i="1" l="1" a="1"/>
  <c r="D19" i="1" s="1"/>
  <c r="D1236" i="1" a="1"/>
  <c r="D1236" i="1" s="1"/>
  <c r="D4" i="1" a="1"/>
  <c r="D4" i="1" s="1"/>
  <c r="D1032" i="1" a="1"/>
  <c r="D1032" i="1" s="1"/>
  <c r="D1043" i="1" a="1"/>
  <c r="D1043" i="1" s="1"/>
  <c r="D1115" i="1" a="1"/>
  <c r="D1115" i="1" s="1"/>
  <c r="D899" i="1" a="1"/>
  <c r="D899" i="1" s="1"/>
  <c r="D803" i="1" a="1"/>
  <c r="D803" i="1" s="1"/>
  <c r="D236" i="1" a="1"/>
  <c r="D236" i="1" s="1"/>
  <c r="D923" i="1" a="1"/>
  <c r="D923" i="1" s="1"/>
  <c r="D851" i="1" a="1"/>
  <c r="D851" i="1" s="1"/>
  <c r="D827" i="1" a="1"/>
  <c r="D827" i="1" s="1"/>
  <c r="D1187" i="1" a="1"/>
  <c r="D1187" i="1" s="1"/>
  <c r="D693" i="1" a="1"/>
  <c r="D693" i="1" s="1"/>
  <c r="D645" i="1" a="1"/>
  <c r="D645" i="1" s="1"/>
  <c r="D511" i="1" a="1"/>
  <c r="D511" i="1" s="1"/>
  <c r="D487" i="1" a="1"/>
  <c r="D487" i="1" s="1"/>
  <c r="D211" i="1" a="1"/>
  <c r="D211" i="1" s="1"/>
  <c r="D187" i="1" a="1"/>
  <c r="D187" i="1" s="1"/>
  <c r="D1007" i="1" a="1"/>
  <c r="D1007" i="1" s="1"/>
  <c r="D871" i="1" a="1"/>
  <c r="D871" i="1" s="1"/>
  <c r="D631" i="1" a="1"/>
  <c r="D631" i="1" s="1"/>
  <c r="D1139" i="1" a="1"/>
  <c r="D1139" i="1" s="1"/>
  <c r="D727" i="1" a="1"/>
  <c r="D727" i="1" s="1"/>
  <c r="D1211" i="1" a="1"/>
  <c r="D1211" i="1" s="1"/>
  <c r="D1231" i="1" a="1"/>
  <c r="D1231" i="1" s="1"/>
  <c r="D1105" i="1" a="1"/>
  <c r="D1105" i="1" s="1"/>
  <c r="D1081" i="1" a="1"/>
  <c r="D1081" i="1" s="1"/>
  <c r="D1057" i="1" a="1"/>
  <c r="D1057" i="1" s="1"/>
  <c r="D997" i="1" a="1"/>
  <c r="D997" i="1" s="1"/>
  <c r="D1246" i="1" a="1"/>
  <c r="D1246" i="1" s="1"/>
  <c r="D1066" i="1" a="1"/>
  <c r="D1066" i="1" s="1"/>
  <c r="D1030" i="1" a="1"/>
  <c r="D1030" i="1" s="1"/>
  <c r="D982" i="1" a="1"/>
  <c r="D982" i="1" s="1"/>
  <c r="D502" i="1" a="1"/>
  <c r="D502" i="1" s="1"/>
  <c r="D543" i="1" a="1"/>
  <c r="D543" i="1" s="1"/>
  <c r="D887" i="1" a="1"/>
  <c r="D887" i="1" s="1"/>
  <c r="D1011" i="1" a="1"/>
  <c r="D1011" i="1" s="1"/>
  <c r="D1172" i="1" a="1"/>
  <c r="D1172" i="1" s="1"/>
  <c r="D1148" i="1" a="1"/>
  <c r="D1148" i="1" s="1"/>
  <c r="D1076" i="1" a="1"/>
  <c r="D1076" i="1" s="1"/>
  <c r="D1052" i="1" a="1"/>
  <c r="D1052" i="1" s="1"/>
  <c r="D1016" i="1" a="1"/>
  <c r="D1016" i="1" s="1"/>
  <c r="D992" i="1" a="1"/>
  <c r="D992" i="1" s="1"/>
  <c r="D572" i="1" a="1"/>
  <c r="D572" i="1" s="1"/>
  <c r="D56" i="1" a="1"/>
  <c r="D56" i="1" s="1"/>
  <c r="D32" i="1" a="1"/>
  <c r="D32" i="1" s="1"/>
  <c r="D1038" i="1" a="1"/>
  <c r="D1038" i="1" s="1"/>
  <c r="D1197" i="1" a="1"/>
  <c r="D1197" i="1" s="1"/>
  <c r="D967" i="1" a="1"/>
  <c r="D967" i="1" s="1"/>
  <c r="D1101" i="1" a="1"/>
  <c r="D1101" i="1" s="1"/>
  <c r="D895" i="1" a="1"/>
  <c r="D895" i="1" s="1"/>
  <c r="D1206" i="1" a="1"/>
  <c r="D1206" i="1" s="1"/>
  <c r="D1062" i="1" a="1"/>
  <c r="D1062" i="1" s="1"/>
  <c r="D1002" i="1" a="1"/>
  <c r="D1002" i="1" s="1"/>
  <c r="D798" i="1" a="1"/>
  <c r="D798" i="1" s="1"/>
  <c r="D702" i="1" a="1"/>
  <c r="D702" i="1" s="1"/>
  <c r="D366" i="1" a="1"/>
  <c r="D366" i="1" s="1"/>
  <c r="D246" i="1" a="1"/>
  <c r="D246" i="1" s="1"/>
  <c r="D987" i="1" a="1"/>
  <c r="D987" i="1" s="1"/>
  <c r="D957" i="1" a="1"/>
  <c r="D957" i="1" s="1"/>
  <c r="D199" i="1" a="1"/>
  <c r="D199" i="1" s="1"/>
  <c r="D399" i="1" a="1"/>
  <c r="D399" i="1" s="1"/>
  <c r="D79" i="1" a="1"/>
  <c r="D79" i="1" s="1"/>
  <c r="D157" i="1" a="1"/>
  <c r="D157" i="1" s="1"/>
  <c r="D55" i="1" a="1"/>
  <c r="D55" i="1" s="1"/>
  <c r="D109" i="1" a="1"/>
  <c r="D109" i="1" s="1"/>
  <c r="D85" i="1" a="1"/>
  <c r="D85" i="1" s="1"/>
  <c r="D43" i="1" a="1"/>
  <c r="D43" i="1" s="1"/>
  <c r="D1086" i="1" a="1"/>
  <c r="D1086" i="1" s="1"/>
  <c r="D1026" i="1" a="1"/>
  <c r="D1026" i="1" s="1"/>
  <c r="D918" i="1" a="1"/>
  <c r="D918" i="1" s="1"/>
  <c r="D1241" i="1" a="1"/>
  <c r="D1241" i="1" s="1"/>
  <c r="D1157" i="1" a="1"/>
  <c r="D1157" i="1" s="1"/>
  <c r="D977" i="1" a="1"/>
  <c r="D977" i="1" s="1"/>
  <c r="D65" i="1" a="1"/>
  <c r="D65" i="1" s="1"/>
  <c r="D41" i="1" a="1"/>
  <c r="D41" i="1" s="1"/>
  <c r="D14" i="1" a="1"/>
  <c r="D14" i="1" s="1"/>
  <c r="D1125" i="1" a="1"/>
  <c r="D1125" i="1" s="1"/>
  <c r="D943" i="1" a="1"/>
  <c r="D943" i="1" s="1"/>
  <c r="D1110" i="1" a="1"/>
  <c r="D1110" i="1" s="1"/>
  <c r="D1216" i="1" a="1"/>
  <c r="D1216" i="1" s="1"/>
  <c r="D1144" i="1" a="1"/>
  <c r="D1144" i="1" s="1"/>
  <c r="D1120" i="1" a="1"/>
  <c r="D1120" i="1" s="1"/>
  <c r="D1096" i="1" a="1"/>
  <c r="D1096" i="1" s="1"/>
  <c r="D952" i="1" a="1"/>
  <c r="D952" i="1" s="1"/>
  <c r="D712" i="1" a="1"/>
  <c r="D712" i="1" s="1"/>
  <c r="D1256" i="1" a="1"/>
  <c r="D1256" i="1" s="1"/>
  <c r="D1182" i="1" a="1"/>
  <c r="D1182" i="1" s="1"/>
  <c r="D1167" i="1" a="1"/>
  <c r="D1167" i="1" s="1"/>
  <c r="D1071" i="1" a="1"/>
  <c r="D1071" i="1" s="1"/>
  <c r="D1047" i="1" a="1"/>
  <c r="D1047" i="1" s="1"/>
  <c r="D663" i="1" a="1"/>
  <c r="D663" i="1" s="1"/>
  <c r="D327" i="1" a="1"/>
  <c r="D327" i="1" s="1"/>
  <c r="D75" i="1" a="1"/>
  <c r="D75" i="1" s="1"/>
  <c r="D27" i="1" a="1"/>
  <c r="D27" i="1" s="1"/>
  <c r="D9" i="1" a="1"/>
  <c r="D9" i="1" s="1"/>
  <c r="D1134" i="1" a="1"/>
  <c r="D1134" i="1" s="1"/>
  <c r="D1221" i="1" a="1"/>
  <c r="D1221" i="1" s="1"/>
  <c r="D1251" i="1" a="1"/>
  <c r="D1251" i="1" s="1"/>
  <c r="D1226" i="1" a="1"/>
  <c r="D1226" i="1" s="1"/>
  <c r="D1034" i="1" a="1"/>
  <c r="D1034" i="1" s="1"/>
  <c r="D938" i="1" a="1"/>
  <c r="D938" i="1" s="1"/>
  <c r="D890" i="1" a="1"/>
  <c r="D890" i="1" s="1"/>
  <c r="D722" i="1" a="1"/>
  <c r="D722" i="1" s="1"/>
  <c r="D626" i="1" a="1"/>
  <c r="D626" i="1" s="1"/>
  <c r="D46" i="1" a="1"/>
  <c r="D46" i="1" s="1"/>
  <c r="D1153" i="1" a="1"/>
  <c r="D1153" i="1" s="1"/>
  <c r="D1021" i="1" a="1"/>
  <c r="D1021" i="1" s="1"/>
  <c r="D913" i="1" a="1"/>
  <c r="D913" i="1" s="1"/>
  <c r="D841" i="1" a="1"/>
  <c r="D841" i="1" s="1"/>
  <c r="D817" i="1" a="1"/>
  <c r="D817" i="1" s="1"/>
  <c r="D673" i="1" a="1"/>
  <c r="D673" i="1" s="1"/>
  <c r="D553" i="1" a="1"/>
  <c r="D553" i="1" s="1"/>
  <c r="D133" i="1" a="1"/>
  <c r="D133" i="1" s="1"/>
  <c r="D37" i="1" a="1"/>
  <c r="D37" i="1" s="1"/>
  <c r="D1162" i="1" a="1"/>
  <c r="D1162" i="1" s="1"/>
  <c r="D1130" i="1" a="1"/>
  <c r="D1130" i="1" s="1"/>
  <c r="D904" i="1" a="1"/>
  <c r="D904" i="1" s="1"/>
  <c r="D972" i="1" a="1"/>
  <c r="D972" i="1" s="1"/>
  <c r="D948" i="1" a="1"/>
  <c r="D948" i="1" s="1"/>
  <c r="D876" i="1" a="1"/>
  <c r="D876" i="1" s="1"/>
  <c r="D780" i="1" a="1"/>
  <c r="D780" i="1" s="1"/>
  <c r="D756" i="1" a="1"/>
  <c r="D756" i="1" s="1"/>
  <c r="D732" i="1" a="1"/>
  <c r="D732" i="1" s="1"/>
  <c r="D516" i="1" a="1"/>
  <c r="D516" i="1" s="1"/>
  <c r="D492" i="1" a="1"/>
  <c r="D492" i="1" s="1"/>
  <c r="D408" i="1" a="1"/>
  <c r="D408" i="1" s="1"/>
  <c r="D216" i="1" a="1"/>
  <c r="D216" i="1" s="1"/>
  <c r="D192" i="1" a="1"/>
  <c r="D192" i="1" s="1"/>
  <c r="D60" i="1" a="1"/>
  <c r="D60" i="1" s="1"/>
  <c r="D1192" i="1" a="1"/>
  <c r="D1192" i="1" s="1"/>
  <c r="D947" i="1" a="1"/>
  <c r="D947" i="1" s="1"/>
  <c r="D962" i="1" a="1"/>
  <c r="D962" i="1" s="1"/>
  <c r="D707" i="1" a="1"/>
  <c r="D707" i="1" s="1"/>
  <c r="D683" i="1" a="1"/>
  <c r="D683" i="1" s="1"/>
  <c r="D635" i="1" a="1"/>
  <c r="D635" i="1" s="1"/>
  <c r="D611" i="1" a="1"/>
  <c r="D611" i="1" s="1"/>
  <c r="D587" i="1" a="1"/>
  <c r="D587" i="1" s="1"/>
  <c r="D563" i="1" a="1"/>
  <c r="D563" i="1" s="1"/>
  <c r="D539" i="1" a="1"/>
  <c r="D539" i="1" s="1"/>
  <c r="D467" i="1" a="1"/>
  <c r="D467" i="1" s="1"/>
  <c r="D933" i="1" a="1"/>
  <c r="D933" i="1" s="1"/>
  <c r="D928" i="1" a="1"/>
  <c r="D928" i="1" s="1"/>
  <c r="D455" i="1" a="1"/>
  <c r="D455" i="1" s="1"/>
  <c r="D908" i="1" a="1"/>
  <c r="D908" i="1" s="1"/>
  <c r="D443" i="1" a="1"/>
  <c r="D443" i="1" s="1"/>
  <c r="D431" i="1" a="1"/>
  <c r="D431" i="1" s="1"/>
  <c r="D861" i="1" a="1"/>
  <c r="D861" i="1" s="1"/>
  <c r="D395" i="1" a="1"/>
  <c r="D395" i="1" s="1"/>
  <c r="D371" i="1" a="1"/>
  <c r="D371" i="1" s="1"/>
  <c r="D347" i="1" a="1"/>
  <c r="D347" i="1" s="1"/>
  <c r="D251" i="1" a="1"/>
  <c r="D251" i="1" s="1"/>
  <c r="D179" i="1" a="1"/>
  <c r="D179" i="1" s="1"/>
  <c r="D356" i="1" a="1"/>
  <c r="D356" i="1" s="1"/>
  <c r="D167" i="1" a="1"/>
  <c r="D167" i="1" s="1"/>
  <c r="D143" i="1" a="1"/>
  <c r="D143" i="1" s="1"/>
  <c r="D119" i="1" a="1"/>
  <c r="D119" i="1" s="1"/>
  <c r="D23" i="1" a="1"/>
  <c r="D23" i="1" s="1"/>
  <c r="D766" i="1" a="1"/>
  <c r="D766" i="1" s="1"/>
  <c r="D742" i="1" a="1"/>
  <c r="D742" i="1" s="1"/>
  <c r="D658" i="1" a="1"/>
  <c r="D658" i="1" s="1"/>
  <c r="D526" i="1" a="1"/>
  <c r="D526" i="1" s="1"/>
  <c r="D418" i="1" a="1"/>
  <c r="D418" i="1" s="1"/>
  <c r="D322" i="1" a="1"/>
  <c r="D322" i="1" s="1"/>
  <c r="D298" i="1" a="1"/>
  <c r="D298" i="1" s="1"/>
  <c r="D274" i="1" a="1"/>
  <c r="D274" i="1" s="1"/>
  <c r="D226" i="1" a="1"/>
  <c r="D226" i="1" s="1"/>
  <c r="D94" i="1" a="1"/>
  <c r="D94" i="1" s="1"/>
  <c r="D70" i="1" a="1"/>
  <c r="D70" i="1" s="1"/>
  <c r="D885" i="1" a="1"/>
  <c r="D885" i="1" s="1"/>
  <c r="D837" i="1" a="1"/>
  <c r="D837" i="1" s="1"/>
  <c r="D813" i="1" a="1"/>
  <c r="D813" i="1" s="1"/>
  <c r="D789" i="1" a="1"/>
  <c r="D789" i="1" s="1"/>
  <c r="D717" i="1" a="1"/>
  <c r="D717" i="1" s="1"/>
  <c r="D621" i="1" a="1"/>
  <c r="D621" i="1" s="1"/>
  <c r="D477" i="1" a="1"/>
  <c r="D477" i="1" s="1"/>
  <c r="D381" i="1" a="1"/>
  <c r="D381" i="1" s="1"/>
  <c r="D201" i="1" a="1"/>
  <c r="D201" i="1" s="1"/>
  <c r="D177" i="1" a="1"/>
  <c r="D177" i="1" s="1"/>
  <c r="D153" i="1" a="1"/>
  <c r="D153" i="1" s="1"/>
  <c r="D129" i="1" a="1"/>
  <c r="D129" i="1" s="1"/>
  <c r="D776" i="1" a="1"/>
  <c r="D776" i="1" s="1"/>
  <c r="D752" i="1" a="1"/>
  <c r="D752" i="1" s="1"/>
  <c r="D668" i="1" a="1"/>
  <c r="D668" i="1" s="1"/>
  <c r="D596" i="1" a="1"/>
  <c r="D596" i="1" s="1"/>
  <c r="D548" i="1" a="1"/>
  <c r="D548" i="1" s="1"/>
  <c r="D452" i="1" a="1"/>
  <c r="D452" i="1" s="1"/>
  <c r="D428" i="1" a="1"/>
  <c r="D428" i="1" s="1"/>
  <c r="D404" i="1" a="1"/>
  <c r="D404" i="1" s="1"/>
  <c r="D332" i="1" a="1"/>
  <c r="D332" i="1" s="1"/>
  <c r="D308" i="1" a="1"/>
  <c r="D308" i="1" s="1"/>
  <c r="D284" i="1" a="1"/>
  <c r="D284" i="1" s="1"/>
  <c r="D260" i="1" a="1"/>
  <c r="D260" i="1" s="1"/>
  <c r="D104" i="1" a="1"/>
  <c r="D104" i="1" s="1"/>
  <c r="D80" i="1" a="1"/>
  <c r="D80" i="1" s="1"/>
  <c r="D846" i="1" a="1"/>
  <c r="D846" i="1" s="1"/>
  <c r="D678" i="1" a="1"/>
  <c r="D678" i="1" s="1"/>
  <c r="D654" i="1" a="1"/>
  <c r="D654" i="1" s="1"/>
  <c r="D606" i="1" a="1"/>
  <c r="D606" i="1" s="1"/>
  <c r="D582" i="1" a="1"/>
  <c r="D582" i="1" s="1"/>
  <c r="D558" i="1" a="1"/>
  <c r="D558" i="1" s="1"/>
  <c r="D534" i="1" a="1"/>
  <c r="D534" i="1" s="1"/>
  <c r="D462" i="1" a="1"/>
  <c r="D462" i="1" s="1"/>
  <c r="D438" i="1" a="1"/>
  <c r="D438" i="1" s="1"/>
  <c r="D390" i="1" a="1"/>
  <c r="D390" i="1" s="1"/>
  <c r="D342" i="1" a="1"/>
  <c r="D342" i="1" s="1"/>
  <c r="D270" i="1" a="1"/>
  <c r="D270" i="1" s="1"/>
  <c r="D162" i="1" a="1"/>
  <c r="D162" i="1" s="1"/>
  <c r="D138" i="1" a="1"/>
  <c r="D138" i="1" s="1"/>
  <c r="D114" i="1" a="1"/>
  <c r="D114" i="1" s="1"/>
  <c r="D822" i="1" a="1"/>
  <c r="D822" i="1" s="1"/>
  <c r="D881" i="1" a="1"/>
  <c r="D881" i="1" s="1"/>
  <c r="D761" i="1" a="1"/>
  <c r="D761" i="1" s="1"/>
  <c r="D737" i="1" a="1"/>
  <c r="D737" i="1" s="1"/>
  <c r="D521" i="1" a="1"/>
  <c r="D521" i="1" s="1"/>
  <c r="D497" i="1" a="1"/>
  <c r="D497" i="1" s="1"/>
  <c r="D413" i="1" a="1"/>
  <c r="D413" i="1" s="1"/>
  <c r="D317" i="1" a="1"/>
  <c r="D317" i="1" s="1"/>
  <c r="D293" i="1" a="1"/>
  <c r="D293" i="1" s="1"/>
  <c r="D221" i="1" a="1"/>
  <c r="D221" i="1" s="1"/>
  <c r="D197" i="1" a="1"/>
  <c r="D197" i="1" s="1"/>
  <c r="D89" i="1" a="1"/>
  <c r="D89" i="1" s="1"/>
  <c r="D808" i="1" a="1"/>
  <c r="D808" i="1" s="1"/>
  <c r="D784" i="1" a="1"/>
  <c r="D784" i="1" s="1"/>
  <c r="D688" i="1" a="1"/>
  <c r="D688" i="1" s="1"/>
  <c r="D640" i="1" a="1"/>
  <c r="D640" i="1" s="1"/>
  <c r="D616" i="1" a="1"/>
  <c r="D616" i="1" s="1"/>
  <c r="D592" i="1" a="1"/>
  <c r="D592" i="1" s="1"/>
  <c r="D472" i="1" a="1"/>
  <c r="D472" i="1" s="1"/>
  <c r="D448" i="1" a="1"/>
  <c r="D448" i="1" s="1"/>
  <c r="D376" i="1" a="1"/>
  <c r="D376" i="1" s="1"/>
  <c r="D172" i="1" a="1"/>
  <c r="D172" i="1" s="1"/>
  <c r="D148" i="1" a="1"/>
  <c r="D148" i="1" s="1"/>
  <c r="D124" i="1" a="1"/>
  <c r="D124" i="1" s="1"/>
  <c r="D832" i="1" a="1"/>
  <c r="D832" i="1" s="1"/>
  <c r="D771" i="1" a="1"/>
  <c r="D771" i="1" s="1"/>
  <c r="D747" i="1" a="1"/>
  <c r="D747" i="1" s="1"/>
  <c r="D567" i="1" a="1"/>
  <c r="D567" i="1" s="1"/>
  <c r="D423" i="1" a="1"/>
  <c r="D423" i="1" s="1"/>
  <c r="D351" i="1" a="1"/>
  <c r="D351" i="1" s="1"/>
  <c r="D303" i="1" a="1"/>
  <c r="D303" i="1" s="1"/>
  <c r="D279" i="1" a="1"/>
  <c r="D279" i="1" s="1"/>
  <c r="D255" i="1" a="1"/>
  <c r="D255" i="1" s="1"/>
  <c r="D231" i="1" a="1"/>
  <c r="D231" i="1" s="1"/>
  <c r="D99" i="1" a="1"/>
  <c r="D99" i="1" s="1"/>
  <c r="D51" i="1" a="1"/>
  <c r="D51" i="1" s="1"/>
  <c r="D856" i="1" a="1"/>
  <c r="D856" i="1" s="1"/>
  <c r="D866" i="1" a="1"/>
  <c r="D866" i="1" s="1"/>
  <c r="D698" i="1" a="1"/>
  <c r="D698" i="1" s="1"/>
  <c r="D530" i="1" a="1"/>
  <c r="D530" i="1" s="1"/>
  <c r="D506" i="1" a="1"/>
  <c r="D506" i="1" s="1"/>
  <c r="D482" i="1" a="1"/>
  <c r="D482" i="1" s="1"/>
  <c r="D206" i="1" a="1"/>
  <c r="D206" i="1" s="1"/>
  <c r="D182" i="1" a="1"/>
  <c r="D182" i="1" s="1"/>
  <c r="D793" i="1" a="1"/>
  <c r="D793" i="1" s="1"/>
  <c r="D649" i="1" a="1"/>
  <c r="D649" i="1" s="1"/>
  <c r="D601" i="1" a="1"/>
  <c r="D601" i="1" s="1"/>
  <c r="D577" i="1" a="1"/>
  <c r="D577" i="1" s="1"/>
  <c r="D457" i="1" a="1"/>
  <c r="D457" i="1" s="1"/>
  <c r="D433" i="1" a="1"/>
  <c r="D433" i="1" s="1"/>
  <c r="D385" i="1" a="1"/>
  <c r="D385" i="1" s="1"/>
  <c r="D361" i="1" a="1"/>
  <c r="D361" i="1" s="1"/>
  <c r="D337" i="1" a="1"/>
  <c r="D337" i="1" s="1"/>
  <c r="D313" i="1" a="1"/>
  <c r="D313" i="1" s="1"/>
  <c r="D289" i="1" a="1"/>
  <c r="D289" i="1" s="1"/>
  <c r="D265" i="1" a="1"/>
  <c r="D265" i="1" s="1"/>
  <c r="D241" i="1" a="1"/>
  <c r="D241" i="1" s="1"/>
  <c r="G9" i="1" l="1"/>
  <c r="G14" i="1" s="1"/>
  <c r="G23" i="1" l="1"/>
  <c r="C7" i="4"/>
  <c r="D65" i="4" l="1"/>
  <c r="E65" i="4" s="1"/>
  <c r="F65" i="4" s="1"/>
  <c r="C10" i="4"/>
  <c r="D57" i="4"/>
  <c r="E57" i="4" s="1"/>
  <c r="F57" i="4" s="1"/>
  <c r="D53" i="4"/>
  <c r="E53" i="4" s="1"/>
  <c r="F53" i="4" s="1"/>
  <c r="D47" i="4"/>
  <c r="E47" i="4" s="1"/>
  <c r="F47" i="4" s="1"/>
  <c r="D52" i="4"/>
  <c r="E52" i="4" s="1"/>
  <c r="F52" i="4" s="1"/>
  <c r="D60" i="4"/>
  <c r="E60" i="4" s="1"/>
  <c r="F60" i="4" s="1"/>
  <c r="D48" i="4"/>
  <c r="E48" i="4" s="1"/>
  <c r="F48" i="4" s="1"/>
  <c r="D68" i="4"/>
  <c r="E68" i="4" s="1"/>
  <c r="F68" i="4" s="1"/>
  <c r="D64" i="4"/>
  <c r="E64" i="4" s="1"/>
  <c r="F64" i="4" s="1"/>
  <c r="D71" i="4"/>
  <c r="E71" i="4" s="1"/>
  <c r="F71" i="4" s="1"/>
  <c r="D56" i="4"/>
  <c r="E56" i="4" s="1"/>
  <c r="F56" i="4" s="1"/>
  <c r="D59" i="4"/>
  <c r="E59" i="4" s="1"/>
  <c r="F59" i="4" s="1"/>
  <c r="D63" i="4"/>
  <c r="E63" i="4" s="1"/>
  <c r="F63" i="4" s="1"/>
  <c r="D51" i="4"/>
  <c r="E51" i="4" s="1"/>
  <c r="F51" i="4" s="1"/>
  <c r="D70" i="4"/>
  <c r="E70" i="4" s="1"/>
  <c r="F70" i="4" s="1"/>
  <c r="D67" i="4"/>
  <c r="E67" i="4" s="1"/>
  <c r="F67" i="4" s="1"/>
  <c r="D62" i="4"/>
  <c r="E62" i="4" s="1"/>
  <c r="F62" i="4" s="1"/>
  <c r="D58" i="4"/>
  <c r="E58" i="4" s="1"/>
  <c r="F58" i="4" s="1"/>
  <c r="D55" i="4"/>
  <c r="E55" i="4" s="1"/>
  <c r="F55" i="4" s="1"/>
  <c r="D50" i="4"/>
  <c r="E50" i="4" s="1"/>
  <c r="F50" i="4" s="1"/>
  <c r="D66" i="4"/>
  <c r="E66" i="4" s="1"/>
  <c r="F66" i="4" s="1"/>
  <c r="D61" i="4"/>
  <c r="E61" i="4" s="1"/>
  <c r="F61" i="4" s="1"/>
  <c r="D69" i="4"/>
  <c r="E69" i="4" s="1"/>
  <c r="F69" i="4" s="1"/>
  <c r="D54" i="4"/>
  <c r="E54" i="4" s="1"/>
  <c r="F54" i="4" s="1"/>
  <c r="D49" i="4"/>
  <c r="E49" i="4" s="1"/>
  <c r="F49" i="4" s="1"/>
  <c r="C10" i="3"/>
  <c r="E19" i="3" s="1"/>
  <c r="G27" i="1"/>
  <c r="C11" i="3" s="1"/>
  <c r="F20" i="3" l="1"/>
  <c r="G20" i="3" s="1"/>
  <c r="F19" i="3"/>
  <c r="G19" i="3" s="1"/>
  <c r="E20" i="3"/>
  <c r="F21" i="3" s="1"/>
  <c r="G21" i="3" s="1"/>
  <c r="C14" i="3"/>
  <c r="C13" i="4"/>
  <c r="C16" i="4" s="1"/>
  <c r="C11" i="4"/>
  <c r="C14" i="4" s="1"/>
  <c r="C36" i="4" l="1"/>
  <c r="C37" i="4" s="1"/>
  <c r="C38" i="4" s="1"/>
  <c r="H20" i="3"/>
  <c r="H19" i="3"/>
  <c r="I19" i="3" s="1"/>
  <c r="J19"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<sst xmlns="http://schemas.openxmlformats.org/spreadsheetml/2006/main" count="68" uniqueCount="65">
  <si>
    <t>Date</t>
  </si>
  <si>
    <t>Close/Last</t>
  </si>
  <si>
    <t>Call Option that I am picking will be a Meta call</t>
  </si>
  <si>
    <t xml:space="preserve">META Option details: </t>
  </si>
  <si>
    <t xml:space="preserve">3 month Call </t>
  </si>
  <si>
    <t>Expires Feb 20th</t>
  </si>
  <si>
    <t>Strike price is 620</t>
  </si>
  <si>
    <t>Bid-ask spread is 36.95-37.55</t>
  </si>
  <si>
    <t>Current Meta Stock Price: 594.25</t>
  </si>
  <si>
    <t>Week Close</t>
  </si>
  <si>
    <t>Percent Change</t>
  </si>
  <si>
    <t>Standard Dev:</t>
  </si>
  <si>
    <t>Annualized Volatility:</t>
  </si>
  <si>
    <t xml:space="preserve">U Factor: </t>
  </si>
  <si>
    <t>Down Factor:</t>
  </si>
  <si>
    <t>Binomal Model:</t>
  </si>
  <si>
    <t>Right now, I have:</t>
  </si>
  <si>
    <t>Stock price=</t>
  </si>
  <si>
    <t xml:space="preserve">K (strike) = </t>
  </si>
  <si>
    <t>Bid-ask=</t>
  </si>
  <si>
    <t>U</t>
  </si>
  <si>
    <t>D=</t>
  </si>
  <si>
    <t>T = (years)</t>
  </si>
  <si>
    <t>Risk free rate=</t>
  </si>
  <si>
    <t>3 month T-bill</t>
  </si>
  <si>
    <t>T=0</t>
  </si>
  <si>
    <t>T=1</t>
  </si>
  <si>
    <t>T=2</t>
  </si>
  <si>
    <t>Up and then Up</t>
  </si>
  <si>
    <t>Up and then Down</t>
  </si>
  <si>
    <t>Down and Down</t>
  </si>
  <si>
    <t>Call Value t=2</t>
  </si>
  <si>
    <t>Call t=1</t>
  </si>
  <si>
    <t>Call t=0</t>
  </si>
  <si>
    <t>Per period risk free rate</t>
  </si>
  <si>
    <t>Risk Neutral prob Q:</t>
  </si>
  <si>
    <t>Delta at T=0</t>
  </si>
  <si>
    <t>BSM Model</t>
  </si>
  <si>
    <t>K (strike)=</t>
  </si>
  <si>
    <t xml:space="preserve">T= </t>
  </si>
  <si>
    <t>R (Risk Free Rate)=</t>
  </si>
  <si>
    <t>Annual Volatility=</t>
  </si>
  <si>
    <t>D1:</t>
  </si>
  <si>
    <t>D2:</t>
  </si>
  <si>
    <t>Normal Dist of D1:</t>
  </si>
  <si>
    <t>Normal Dist of D2:</t>
  </si>
  <si>
    <t xml:space="preserve">Call Price: </t>
  </si>
  <si>
    <t>*because yahoo isn't free, I went to Nasdaq and downloaded the daily values, and then I converted it into weekly values, and got the percent change off of that. That is why the rows in Historical data go down to 1200</t>
  </si>
  <si>
    <t xml:space="preserve">Theta annual </t>
  </si>
  <si>
    <t xml:space="preserve">I used this Formula to get theta: </t>
  </si>
  <si>
    <t>Theta per day:</t>
  </si>
  <si>
    <t xml:space="preserve">per contract: </t>
  </si>
  <si>
    <t>This means that I am losing 28 dollars per day right now</t>
  </si>
  <si>
    <t>However, I know that theta speeds up as you get closer to expiration.</t>
  </si>
  <si>
    <t>I want to build out a theta curve? If possible</t>
  </si>
  <si>
    <t>TIME</t>
  </si>
  <si>
    <t>Time</t>
  </si>
  <si>
    <t>Time 3 months away</t>
  </si>
  <si>
    <t>Time 1 day out</t>
  </si>
  <si>
    <t>Total Theta for year</t>
  </si>
  <si>
    <t>Daily Theta</t>
  </si>
  <si>
    <t>Money Lost due to theta</t>
  </si>
  <si>
    <t>Money per contract Lost</t>
  </si>
  <si>
    <t>I had to flip around the X axis so in the charts case, 0.25 is 3 months away</t>
  </si>
  <si>
    <t>This is a project, to price call options, though two equations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</si>
</sst>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
    <numFmt numFmtId="165"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u/>
      <sz val="11"/>
      <color theme="10"/>
      <name val="Aptos Narrow"/>
      <family val="2"/>
      <scheme val="minor"/>
    </font>
    <font>
      <u/>
      <sz val="11"/>
      <color theme="10"/>
      <name val="Times New Roman"/>
      <family val="1"/>
    </font>
    <font>
      <sz val="1"/>
      <color theme="1"/>
      <name val="Times New Roman"/>
      <family val="1"/>
    </font>
    <font>
      <sz val="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6">
    <xf numFmtId="0" fontId="0" fillId="0" borderId="0" xfId="0"/>
    <xf numFmtId="14" fontId="0" fillId="0" borderId="0" xfId="0" applyNumberFormat="1"/>
    <xf numFmtId="8" fontId="0" fillId="0" borderId="0" xfId="0" applyNumberFormat="1"/>
    <xf numFmtId="0" fontId="18" fillId="0" borderId="0" xfId="0" applyFont="1"/>
    <xf numFmtId="0" fontId="16" fillId="0" borderId="0" xfId="0" applyFont="1"/>
    <xf numFmtId="10" fontId="0" fillId="0" borderId="0" xfId="0" applyNumberFormat="1"/>
    <xf numFmtId="0" fontId="20" fillId="0" borderId="0" xfId="42" applyFont="1"/>
    <xf numFmtId="0" fontId="18" fillId="33" borderId="0" xfId="0" applyFont="1" applyFill="1"/>
    <xf numFmtId="10" fontId="18" fillId="33" borderId="0" xfId="0" applyNumberFormat="1" applyFont="1" applyFill="1"/>
    <xf numFmtId="0" fontId="18" fillId="34" borderId="0" xfId="0" applyFont="1" applyFill="1"/>
    <xf numFmtId="10" fontId="18" fillId="34" borderId="0" xfId="0" applyNumberFormat="1" applyFont="1" applyFill="1"/>
    <xf numFmtId="164" fontId="18" fillId="0" borderId="0" xfId="0" applyNumberFormat="1" applyFont="1"/>
    <xf numFmtId="0" fontId="21" fillId="0" borderId="0" xfId="0" applyFont="1"/>
    <xf numFmtId="165" fontId="21" fillId="0" borderId="0" xfId="0" applyNumberFormat="1" applyFont="1"/>
    <xf numFmtId="0" fontId="22" fillId="0" borderId="0" xfId="0" applyFont="1"/>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Money per contract Lost due to Theta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'Black Scholes Model'!$E$76</c:f>
              <c:strCache>
                <c:ptCount val="1"/>
                <c:pt idx="0">
                  <c:v>Money per contract Lost</c:v>
                </c:pt>
              </c:strCache>
            </c:strRef>
          </c:tx>
          <c:spPr>
            <a:ln w="38100" cap="rnd">
              <a:noFill/>
              <a:round/>
            </a:ln>
            <a:effectLst/>
          </c:spPr>
          <c:marker>
            <c:symbol val="circle"/>
            <c:size val="5"/>
            <c:spPr>
              <a:solidFill>
                <a:schemeClr val="accent1"/>
              </a:solidFill>
              <a:ln w="9525">
                <a:solidFill>
                  <a:schemeClr val="accent1"/>
                </a:solidFill>
              </a:ln>
              <a:effectLst/>
            </c:spPr>
          </c:marker>
          <c:xVal>
            <c:numRef>
              <c:f>'Black Scholes Model'!$C$77:$C$101</c:f>
              <c:numCache>
                <c:formatCode>General</c:formatCode>
                <c:ptCount val="25"/>
                <c:pt idx="0">
                  <c:v>9.9999999999999135E-3</c:v>
                </c:pt>
                <c:pt idx="1">
                  <c:v>1.9999999999999914E-2</c:v>
                </c:pt>
                <c:pt idx="2">
                  <c:v>2.9999999999999916E-2</c:v>
                </c:pt>
                <c:pt idx="3">
                  <c:v>3.9999999999999918E-2</c:v>
                </c:pt>
                <c:pt idx="4">
                  <c:v>4.999999999999992E-2</c:v>
                </c:pt>
                <c:pt idx="5">
                  <c:v>5.9999999999999921E-2</c:v>
                </c:pt>
                <c:pt idx="6">
                  <c:v>6.9999999999999923E-2</c:v>
                </c:pt>
                <c:pt idx="7">
                  <c:v>7.9999999999999918E-2</c:v>
                </c:pt>
                <c:pt idx="8">
                  <c:v>8.9999999999999913E-2</c:v>
                </c:pt>
                <c:pt idx="9">
                  <c:v>9.9999999999999908E-2</c:v>
                </c:pt>
                <c:pt idx="10">
                  <c:v>0.1099999999999999</c:v>
                </c:pt>
                <c:pt idx="11">
                  <c:v>0.1199999999999999</c:v>
                </c:pt>
                <c:pt idx="12">
                  <c:v>0.12999999999999989</c:v>
                </c:pt>
                <c:pt idx="13">
                  <c:v>0.1399999999999999</c:v>
                </c:pt>
                <c:pt idx="14">
                  <c:v>0.14999999999999991</c:v>
                </c:pt>
                <c:pt idx="15">
                  <c:v>0.15999999999999992</c:v>
                </c:pt>
                <c:pt idx="16">
                  <c:v>0.16999999999999993</c:v>
                </c:pt>
                <c:pt idx="17">
                  <c:v>0.17999999999999994</c:v>
                </c:pt>
                <c:pt idx="18">
                  <c:v>0.18999999999999995</c:v>
                </c:pt>
                <c:pt idx="19">
                  <c:v>0.19999999999999996</c:v>
                </c:pt>
                <c:pt idx="20">
                  <c:v>0.20999999999999996</c:v>
                </c:pt>
                <c:pt idx="21">
                  <c:v>0.21999999999999997</c:v>
                </c:pt>
                <c:pt idx="22">
                  <c:v>0.22999999999999998</c:v>
                </c:pt>
                <c:pt idx="23">
                  <c:v>0.24</c:v>
                </c:pt>
                <c:pt idx="24">
                  <c:v>0.25</c:v>
                </c:pt>
              </c:numCache>
            </c:numRef>
          </c:xVal>
          <c:yVal>
            <c:numRef>
              <c:f>'Black Scholes Model'!$E$77:$E$101</c:f>
              <c:numCache>
                <c:formatCode>"$"#,##0.00</c:formatCode>
                <c:ptCount val="25"/>
                <c:pt idx="0">
                  <c:v>28.926031276419899</c:v>
                </c:pt>
                <c:pt idx="1">
                  <c:v>29.450360120380708</c:v>
                </c:pt>
                <c:pt idx="2">
                  <c:v>30.006451561512836</c:v>
                </c:pt>
                <c:pt idx="3">
                  <c:v>30.597678877120458</c:v>
                </c:pt>
                <c:pt idx="4">
                  <c:v>31.22793873976039</c:v>
                </c:pt>
                <c:pt idx="5">
                  <c:v>31.901760225148074</c:v>
                </c:pt>
                <c:pt idx="6">
                  <c:v>32.624442822436265</c:v>
                </c:pt>
                <c:pt idx="7">
                  <c:v>33.402232989825535</c:v>
                </c:pt>
                <c:pt idx="8">
                  <c:v>34.242552594034599</c:v>
                </c:pt>
                <c:pt idx="9">
                  <c:v>35.154298161432266</c:v>
                </c:pt>
                <c:pt idx="10">
                  <c:v>36.148238244911589</c:v>
                </c:pt>
                <c:pt idx="11">
                  <c:v>37.23754900376133</c:v>
                </c:pt>
                <c:pt idx="12">
                  <c:v>38.438548036333046</c:v>
                </c:pt>
                <c:pt idx="13">
                  <c:v>39.771718281057439</c:v>
                </c:pt>
                <c:pt idx="14">
                  <c:v>41.263165619171055</c:v>
                </c:pt>
                <c:pt idx="15">
                  <c:v>42.946740354563303</c:v>
                </c:pt>
                <c:pt idx="16">
                  <c:v>44.867200650018908</c:v>
                </c:pt>
                <c:pt idx="17">
                  <c:v>47.085053467969423</c:v>
                </c:pt>
                <c:pt idx="18">
                  <c:v>49.684158348261967</c:v>
                </c:pt>
                <c:pt idx="19">
                  <c:v>52.78393106066239</c:v>
                </c:pt>
                <c:pt idx="20">
                  <c:v>56.558958683506447</c:v>
                </c:pt>
                <c:pt idx="21">
                  <c:v>61.26799409074647</c:v>
                </c:pt>
                <c:pt idx="22">
                  <c:v>67.273280437090179</c:v>
                </c:pt>
                <c:pt idx="23">
                  <c:v>74.809311574580931</c:v>
                </c:pt>
                <c:pt idx="24">
                  <c:v>80.00916016179572</c:v>
                </c:pt>
              </c:numCache>
            </c:numRef>
          </c:yVal>
          <c:smooth val="0"/>
          <c:extLst>
            <c:ext xmlns:c16="http://schemas.microsoft.com/office/drawing/2014/chart" uri="{C3380CC4-5D6E-409C-BE32-E72D297353CC}">
              <c16:uniqueId val="{00000000-3C14-47B4-BAFC-F7CE34CC4E5F}"/>
            </c:ext>
          </c:extLst>
        </c:ser>
        <c:dLbls>
          <c:showLegendKey val="0"/>
          <c:showVal val="0"/>
          <c:showCatName val="0"/>
          <c:showSerName val="0"/>
          <c:showPercent val="0"/>
          <c:showBubbleSize val="0"/>
        </c:dLbls>
        <c:axId val="784900360"/>
        <c:axId val="784897120"/>
      </c:scatterChart>
      <c:valAx>
        <c:axId val="7849003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until Expiration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97120"/>
        <c:crosses val="autoZero"/>
        <c:crossBetween val="midCat"/>
      </c:valAx>
      <c:valAx>
        <c:axId val="78489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Money</a:t>
                </a:r>
                <a:r>
                  <a:rPr lang="en-US" baseline="0"/>
                  <a:t> Lost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00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219075</xdr:colOff>
      <xdr:row>28</xdr:row>
      <xdr:rowOff>0</xdr:rowOff>
    </xdr:from>
    <xdr:to>
      <xdr:col>6</xdr:col>
      <xdr:colOff>609600</xdr:colOff>
      <xdr:row>33</xdr:row>
      <xdr:rowOff>104775</xdr:rowOff>
    </xdr:to>
    <xdr:sp macro="" textlink="">
      <xdr:nvSpPr>
        <xdr:cNvPr id="2" name="TextBox 1">
          <a:extLst>
            <a:ext uri="{FF2B5EF4-FFF2-40B4-BE49-F238E27FC236}">
              <a16:creationId xmlns:a16="http://schemas.microsoft.com/office/drawing/2014/main" id="{0EA18055-CAA5-C70E-FBF5-A6C6A08B327A}"/>
            </a:ext>
          </a:extLst>
        </xdr:cNvPr>
        <xdr:cNvSpPr txBox="1"/>
      </xdr:nvSpPr>
      <xdr:spPr>
        <a:xfrm>
          <a:off x="2085975" y="5334000"/>
          <a:ext cx="3219450" cy="105727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 the Bid-Ask spread currently at 36.95-37.55, having the call being worth 39.43 at t=0, means this model is estimating that the call is worth a bit more than the bid-ask spread. It is close in value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295275</xdr:colOff>
      <xdr:row>9</xdr:row>
      <xdr:rowOff>180975</xdr:rowOff>
    </xdr:from>
    <xdr:to>
      <xdr:col>10</xdr:col>
      <xdr:colOff>238125</xdr:colOff>
      <xdr:row>19</xdr:row>
      <xdr:rowOff>57150</xdr:rowOff>
    </xdr:to>
    <xdr:sp macro="" textlink="">
      <xdr:nvSpPr>
        <xdr:cNvPr id="2" name="TextBox 1">
          <a:extLst>
            <a:ext uri="{FF2B5EF4-FFF2-40B4-BE49-F238E27FC236}">
              <a16:creationId xmlns:a16="http://schemas.microsoft.com/office/drawing/2014/main" id="{BA7B288A-7051-BC0B-3F60-06B443F8DA78}"/>
            </a:ext>
          </a:extLst>
        </xdr:cNvPr>
        <xdr:cNvSpPr txBox="1"/>
      </xdr:nvSpPr>
      <xdr:spPr>
        <a:xfrm>
          <a:off x="3209925" y="1895475"/>
          <a:ext cx="3600450" cy="178117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Call price is around 39.64, right above the actual</a:t>
          </a:r>
          <a:r>
            <a:rPr lang="en-US" sz="1100" baseline="0"/>
            <a:t> market bid-ask spread of 36.95-37.55. I am not sure if this is an arbitrage opportunity since Meta is spending billions on new AI data centers financed by taking out debt by selling bonds. If it doesnt pay off for them, they could sink. Also, this call is out of the money, so on the BOPM model, I saw it needs to go up, or it will expire worthless. This was a very cool assignment, I think I did everything right except for the delta's on the BOPM. </a:t>
          </a:r>
        </a:p>
        <a:p>
          <a:endParaRPr lang="en-US" sz="1100" baseline="0"/>
        </a:p>
        <a:p>
          <a:endParaRPr lang="en-US" sz="1100"/>
        </a:p>
      </xdr:txBody>
    </xdr:sp>
    <xdr:clientData/>
  </xdr:twoCellAnchor>
  <xdr:twoCellAnchor>
    <xdr:from>
      <xdr:col>4</xdr:col>
      <xdr:colOff>276224</xdr:colOff>
      <xdr:row>24</xdr:row>
      <xdr:rowOff>28575</xdr:rowOff>
    </xdr:from>
    <xdr:to>
      <xdr:col>10</xdr:col>
      <xdr:colOff>38099</xdr:colOff>
      <xdr:row>32</xdr:row>
      <xdr:rowOff>28575</xdr:rowOff>
    </xdr:to>
    <xdr:sp macro="" textlink="">
      <xdr:nvSpPr>
        <xdr:cNvPr id="3" name="TextBox 2">
          <a:extLst>
            <a:ext uri="{FF2B5EF4-FFF2-40B4-BE49-F238E27FC236}">
              <a16:creationId xmlns:a16="http://schemas.microsoft.com/office/drawing/2014/main" id="{8AC8534F-D62A-A7C6-2481-0E13638E966E}"/>
            </a:ext>
          </a:extLst>
        </xdr:cNvPr>
        <xdr:cNvSpPr txBox="1"/>
      </xdr:nvSpPr>
      <xdr:spPr>
        <a:xfrm>
          <a:off x="3190874" y="4600575"/>
          <a:ext cx="3419475" cy="1524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a:t>
          </a:r>
          <a:r>
            <a:rPr lang="en-US" sz="1100" baseline="0"/>
            <a:t> have traded options in the past, and I think looking at theta is important, whether you buy a call, and losing money on time value, or write a call and theta works in your favor, I think Theta is an important greek to look at, So I want to see if I can calculate it. I will be using formulas I find online. I know this is outside of the assignment, but I want to try.</a:t>
          </a:r>
          <a:endParaRPr lang="en-US" sz="1100"/>
        </a:p>
      </xdr:txBody>
    </xdr:sp>
    <xdr:clientData/>
  </xdr:twoCellAnchor>
  <xdr:twoCellAnchor editAs="oneCell">
    <xdr:from>
      <xdr:col>7</xdr:col>
      <xdr:colOff>161925</xdr:colOff>
      <xdr:row>34</xdr:row>
      <xdr:rowOff>42520</xdr:rowOff>
    </xdr:from>
    <xdr:to>
      <xdr:col>10</xdr:col>
      <xdr:colOff>517889</xdr:colOff>
      <xdr:row>36</xdr:row>
      <xdr:rowOff>123824</xdr:rowOff>
    </xdr:to>
    <xdr:pic>
      <xdr:nvPicPr>
        <xdr:cNvPr id="5" name="Picture 4">
          <a:extLst>
            <a:ext uri="{FF2B5EF4-FFF2-40B4-BE49-F238E27FC236}">
              <a16:creationId xmlns:a16="http://schemas.microsoft.com/office/drawing/2014/main" id="{66EBB80A-A706-0F35-2B51-9D7CA0A3F906}"/>
            </a:ext>
          </a:extLst>
        </xdr:cNvPr>
        <xdr:cNvPicPr>
          <a:picLocks noChangeAspect="1"/>
        </xdr:cNvPicPr>
      </xdr:nvPicPr>
      <xdr:blipFill>
        <a:blip xmlns:r="http://schemas.openxmlformats.org/officeDocument/2006/relationships" r:embed="rId1"/>
        <a:stretch>
          <a:fillRect/>
        </a:stretch>
      </xdr:blipFill>
      <xdr:spPr>
        <a:xfrm>
          <a:off x="4905375" y="6519520"/>
          <a:ext cx="2184764" cy="462304"/>
        </a:xfrm>
        <a:prstGeom prst="rect">
          <a:avLst/>
        </a:prstGeom>
      </xdr:spPr>
    </xdr:pic>
    <xdr:clientData/>
  </xdr:twoCellAnchor>
  <xdr:twoCellAnchor>
    <xdr:from>
      <xdr:col>7</xdr:col>
      <xdr:colOff>552450</xdr:colOff>
      <xdr:row>47</xdr:row>
      <xdr:rowOff>128587</xdr:rowOff>
    </xdr:from>
    <xdr:to>
      <xdr:col>15</xdr:col>
      <xdr:colOff>247650</xdr:colOff>
      <xdr:row>62</xdr:row>
      <xdr:rowOff>14287</xdr:rowOff>
    </xdr:to>
    <xdr:graphicFrame macro="">
      <xdr:nvGraphicFramePr>
        <xdr:cNvPr id="8" name="Chart 7">
          <a:extLst>
            <a:ext uri="{FF2B5EF4-FFF2-40B4-BE49-F238E27FC236}">
              <a16:creationId xmlns:a16="http://schemas.microsoft.com/office/drawing/2014/main" id="{D9203CCB-D4C7-1E68-EC1B-BFF4D3D26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nbc.com/quotes/US3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EDD9-79F9-46A6-B584-22293B888D33}">
  <dimension ref="A4:G20"/>
  <sheetViews>
    <sheetView workbookViewId="0">
      <selection activeCell="K11" sqref="K11"/>
    </sheetView>
  </sheetViews>
  <sheetFormatPr defaultRowHeight="15" x14ac:dyDescent="0.25"/>
  <sheetData>
    <row r="4" spans="1:7" x14ac:dyDescent="0.25">
      <c r="B4" s="15" t="s">
        <v>64</v>
      </c>
      <c r="C4" s="15"/>
      <c r="D4" s="15"/>
      <c r="E4" s="15"/>
      <c r="F4" s="15"/>
      <c r="G4" s="15"/>
    </row>
    <row r="5" spans="1:7" x14ac:dyDescent="0.25">
      <c r="A5" s="3"/>
      <c r="B5" s="3"/>
      <c r="C5" s="3"/>
      <c r="D5" s="3"/>
      <c r="E5" s="3"/>
      <c r="F5" s="3"/>
      <c r="G5" s="3"/>
    </row>
    <row r="6" spans="1:7" x14ac:dyDescent="0.25">
      <c r="A6" s="3"/>
      <c r="B6" s="9" t="s">
        <v>2</v>
      </c>
      <c r="C6" s="9"/>
      <c r="D6" s="9"/>
      <c r="E6" s="9"/>
      <c r="F6" s="9"/>
      <c r="G6" s="3"/>
    </row>
    <row r="7" spans="1:7" x14ac:dyDescent="0.25">
      <c r="A7" s="3"/>
      <c r="B7" s="9"/>
      <c r="C7" s="9"/>
      <c r="D7" s="9"/>
      <c r="E7" s="9"/>
      <c r="F7" s="9"/>
      <c r="G7" s="3"/>
    </row>
    <row r="8" spans="1:7" x14ac:dyDescent="0.25">
      <c r="A8" s="3"/>
      <c r="B8" s="9" t="s">
        <v>3</v>
      </c>
      <c r="C8" s="9"/>
      <c r="D8" s="9"/>
      <c r="E8" s="9"/>
      <c r="F8" s="9"/>
      <c r="G8" s="3"/>
    </row>
    <row r="9" spans="1:7" x14ac:dyDescent="0.25">
      <c r="A9" s="3"/>
      <c r="B9" s="9" t="s">
        <v>4</v>
      </c>
      <c r="C9" s="9"/>
      <c r="D9" s="9"/>
      <c r="E9" s="9"/>
      <c r="F9" s="9"/>
      <c r="G9" s="3"/>
    </row>
    <row r="10" spans="1:7" x14ac:dyDescent="0.25">
      <c r="A10" s="3"/>
      <c r="B10" s="9" t="s">
        <v>5</v>
      </c>
      <c r="C10" s="9"/>
      <c r="D10" s="9"/>
      <c r="E10" s="9"/>
      <c r="F10" s="9"/>
      <c r="G10" s="3"/>
    </row>
    <row r="11" spans="1:7" x14ac:dyDescent="0.25">
      <c r="A11" s="3"/>
      <c r="B11" s="9" t="s">
        <v>6</v>
      </c>
      <c r="C11" s="9"/>
      <c r="D11" s="9"/>
      <c r="E11" s="9"/>
      <c r="F11" s="9"/>
      <c r="G11" s="3"/>
    </row>
    <row r="12" spans="1:7" x14ac:dyDescent="0.25">
      <c r="A12" s="3"/>
      <c r="B12" s="9" t="s">
        <v>7</v>
      </c>
      <c r="C12" s="9"/>
      <c r="D12" s="9"/>
      <c r="E12" s="9"/>
      <c r="F12" s="9"/>
      <c r="G12" s="3"/>
    </row>
    <row r="13" spans="1:7" x14ac:dyDescent="0.25">
      <c r="A13" s="3"/>
      <c r="B13" s="9"/>
      <c r="C13" s="9"/>
      <c r="D13" s="9"/>
      <c r="E13" s="9"/>
      <c r="F13" s="9"/>
      <c r="G13" s="3"/>
    </row>
    <row r="14" spans="1:7" x14ac:dyDescent="0.25">
      <c r="A14" s="3"/>
      <c r="B14" s="9" t="s">
        <v>8</v>
      </c>
      <c r="C14" s="9"/>
      <c r="D14" s="9"/>
      <c r="E14" s="9"/>
      <c r="F14" s="9"/>
      <c r="G14" s="3"/>
    </row>
    <row r="15" spans="1:7" x14ac:dyDescent="0.25">
      <c r="A15" s="3"/>
      <c r="B15" s="3"/>
      <c r="C15" s="3"/>
      <c r="D15" s="3"/>
      <c r="E15" s="3"/>
      <c r="F15" s="3"/>
      <c r="G15" s="3"/>
    </row>
    <row r="16" spans="1:7" x14ac:dyDescent="0.25">
      <c r="A16" s="3"/>
      <c r="B16" s="3"/>
      <c r="C16" s="3"/>
      <c r="D16" s="3"/>
      <c r="E16" s="3"/>
      <c r="F16" s="3"/>
      <c r="G16" s="3"/>
    </row>
    <row r="17" spans="1:7" x14ac:dyDescent="0.25">
      <c r="A17" s="3"/>
      <c r="B17" s="3"/>
      <c r="C17" s="3"/>
      <c r="D17" s="3"/>
      <c r="E17" s="3"/>
      <c r="F17" s="3"/>
      <c r="G17" s="3"/>
    </row>
    <row r="18" spans="1:7" x14ac:dyDescent="0.25">
      <c r="A18" s="3"/>
      <c r="B18" s="3"/>
      <c r="C18" s="3"/>
      <c r="D18" s="3"/>
      <c r="E18" s="3"/>
      <c r="F18" s="3"/>
      <c r="G18" s="3"/>
    </row>
    <row r="20" spans="1:7" x14ac:dyDescent="0.25">
      <c r="B20"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D4DD-BA47-47E8-AA43-AB732A111EDE}">
  <sheetPr filterMode="1"/>
  <dimension ref="A1:G1257"/>
  <sheetViews>
    <sheetView workbookViewId="0">
      <selection activeCell="K75" sqref="K75"/>
    </sheetView>
  </sheetViews>
  <sheetFormatPr defaultRowHeight="15" x14ac:dyDescent="0.25"/>
  <cols>
    <col min="1" max="1" width="12.7109375" customWidth="1"/>
    <col min="2" max="2" width="10.85546875" customWidth="1"/>
    <col min="3" max="3" width="11.7109375" customWidth="1"/>
    <col min="4" max="4" width="14.42578125" customWidth="1"/>
    <col min="6" max="6" width="20.5703125" customWidth="1"/>
  </cols>
  <sheetData>
    <row r="1" spans="1:7" x14ac:dyDescent="0.25">
      <c r="A1" s="4" t="s">
        <v>0</v>
      </c>
      <c r="B1" s="4" t="s">
        <v>1</v>
      </c>
      <c r="C1" t="s">
        <v>9</v>
      </c>
      <c r="D1" t="s">
        <v>10</v>
      </c>
    </row>
    <row r="2" spans="1:7" hidden="1" x14ac:dyDescent="0.25">
      <c r="A2" s="1">
        <v>44159</v>
      </c>
      <c r="B2" s="2">
        <v>276.92</v>
      </c>
      <c r="C2" t="str">
        <f>IF(WEEKNUM(A2)&lt;&gt;WEEKNUM(A3),B2,"")</f>
        <v/>
      </c>
      <c r="D2" s="5" t="str" cm="1">
        <f t="array" ref="D2">IF(C2="","",C2/LOOKUP(2,1/($C$1:C1&lt;&gt;""),$C$1:C1)-1)</f>
        <v/>
      </c>
    </row>
    <row r="3" spans="1:7" hidden="1" x14ac:dyDescent="0.25">
      <c r="A3" s="1">
        <v>44160</v>
      </c>
      <c r="B3" s="2">
        <v>275.58999999999997</v>
      </c>
      <c r="C3" t="str">
        <f t="shared" ref="C3:C66" si="0">IF(WEEKNUM(A3)&lt;&gt;WEEKNUM(A4),B3,"")</f>
        <v/>
      </c>
      <c r="D3" s="5" t="str" cm="1">
        <f t="array" ref="D3">IF(C3="","",C3/LOOKUP(2,1/($C$1:C2&lt;&gt;""),$C$1:C2)-1)</f>
        <v/>
      </c>
    </row>
    <row r="4" spans="1:7" x14ac:dyDescent="0.25">
      <c r="A4" s="1">
        <v>44162</v>
      </c>
      <c r="B4" s="2">
        <v>277.81</v>
      </c>
      <c r="C4">
        <f t="shared" si="0"/>
        <v>277.81</v>
      </c>
      <c r="D4" t="e" cm="1">
        <f t="array" ref="D4">IF(C4="","",C4/LOOKUP(2,1/($C$1:C3&lt;&gt;""),$C$1:C3)-1)</f>
        <v>#VALUE!</v>
      </c>
    </row>
    <row r="5" spans="1:7" hidden="1" x14ac:dyDescent="0.25">
      <c r="A5" s="1">
        <v>44165</v>
      </c>
      <c r="B5" s="2">
        <v>276.97000000000003</v>
      </c>
      <c r="C5" t="str">
        <f t="shared" si="0"/>
        <v/>
      </c>
      <c r="D5" s="5" t="str" cm="1">
        <f t="array" ref="D5">IF(C5="","",C5/LOOKUP(2,1/($C$1:C4&lt;&gt;""),$C$1:C4)-1)</f>
        <v/>
      </c>
    </row>
    <row r="6" spans="1:7" hidden="1" x14ac:dyDescent="0.25">
      <c r="A6" s="1">
        <v>44166</v>
      </c>
      <c r="B6" s="2">
        <v>286.55</v>
      </c>
      <c r="C6" t="str">
        <f t="shared" si="0"/>
        <v/>
      </c>
      <c r="D6" s="5" t="str" cm="1">
        <f t="array" ref="D6">IF(C6="","",C6/LOOKUP(2,1/($C$1:C5&lt;&gt;""),$C$1:C5)-1)</f>
        <v/>
      </c>
    </row>
    <row r="7" spans="1:7" hidden="1" x14ac:dyDescent="0.25">
      <c r="A7" s="1">
        <v>44167</v>
      </c>
      <c r="B7" s="2">
        <v>287.52</v>
      </c>
      <c r="C7" t="str">
        <f t="shared" si="0"/>
        <v/>
      </c>
      <c r="D7" s="5" t="str" cm="1">
        <f t="array" ref="D7">IF(C7="","",C7/LOOKUP(2,1/($C$1:C6&lt;&gt;""),$C$1:C6)-1)</f>
        <v/>
      </c>
    </row>
    <row r="8" spans="1:7" hidden="1" x14ac:dyDescent="0.25">
      <c r="A8" s="1">
        <v>44168</v>
      </c>
      <c r="B8" s="2">
        <v>281.85000000000002</v>
      </c>
      <c r="C8" t="str">
        <f t="shared" si="0"/>
        <v/>
      </c>
      <c r="D8" s="5" t="str" cm="1">
        <f t="array" ref="D8">IF(C8="","",C8/LOOKUP(2,1/($C$1:C7&lt;&gt;""),$C$1:C7)-1)</f>
        <v/>
      </c>
    </row>
    <row r="9" spans="1:7" x14ac:dyDescent="0.25">
      <c r="A9" s="1">
        <v>44169</v>
      </c>
      <c r="B9" s="2">
        <v>279.7</v>
      </c>
      <c r="C9">
        <f t="shared" si="0"/>
        <v>279.7</v>
      </c>
      <c r="D9" cm="1">
        <f t="array" ref="D9">IF(C9="","",C9/LOOKUP(2,1/($C$1:C8&lt;&gt;""),$C$1:C8)-1)</f>
        <v>6.8032108275439818E-3</v>
      </c>
      <c r="F9" t="s">
        <v>11</v>
      </c>
      <c r="G9">
        <f>_xlfn.STDEV.S(D9:D1256)</f>
        <v>5.640294057703072E-2</v>
      </c>
    </row>
    <row r="10" spans="1:7" hidden="1" x14ac:dyDescent="0.25">
      <c r="A10" s="1">
        <v>44172</v>
      </c>
      <c r="B10" s="2">
        <v>285.58</v>
      </c>
      <c r="C10" t="str">
        <f t="shared" si="0"/>
        <v/>
      </c>
      <c r="D10" s="5" t="str" cm="1">
        <f t="array" ref="D10">IF(C10="","",C10/LOOKUP(2,1/($C$1:C9&lt;&gt;""),$C$1:C9)-1)</f>
        <v/>
      </c>
    </row>
    <row r="11" spans="1:7" hidden="1" x14ac:dyDescent="0.25">
      <c r="A11" s="1">
        <v>44173</v>
      </c>
      <c r="B11" s="2">
        <v>283.39999999999998</v>
      </c>
      <c r="C11" t="str">
        <f t="shared" si="0"/>
        <v/>
      </c>
      <c r="D11" s="5" t="str" cm="1">
        <f t="array" ref="D11">IF(C11="","",C11/LOOKUP(2,1/($C$1:C10&lt;&gt;""),$C$1:C10)-1)</f>
        <v/>
      </c>
    </row>
    <row r="12" spans="1:7" hidden="1" x14ac:dyDescent="0.25">
      <c r="A12" s="1">
        <v>44174</v>
      </c>
      <c r="B12" s="2">
        <v>277.92</v>
      </c>
      <c r="C12" t="str">
        <f t="shared" si="0"/>
        <v/>
      </c>
      <c r="D12" s="5" t="str" cm="1">
        <f t="array" ref="D12">IF(C12="","",C12/LOOKUP(2,1/($C$1:C11&lt;&gt;""),$C$1:C11)-1)</f>
        <v/>
      </c>
    </row>
    <row r="13" spans="1:7" hidden="1" x14ac:dyDescent="0.25">
      <c r="A13" s="1">
        <v>44175</v>
      </c>
      <c r="B13" s="2">
        <v>277.12</v>
      </c>
      <c r="C13" t="str">
        <f t="shared" si="0"/>
        <v/>
      </c>
      <c r="D13" s="5" t="str" cm="1">
        <f t="array" ref="D13">IF(C13="","",C13/LOOKUP(2,1/($C$1:C12&lt;&gt;""),$C$1:C12)-1)</f>
        <v/>
      </c>
    </row>
    <row r="14" spans="1:7" x14ac:dyDescent="0.25">
      <c r="A14" s="1">
        <v>44176</v>
      </c>
      <c r="B14" s="2">
        <v>273.55</v>
      </c>
      <c r="C14">
        <f t="shared" si="0"/>
        <v>273.55</v>
      </c>
      <c r="D14" cm="1">
        <f t="array" ref="D14">IF(C14="","",C14/LOOKUP(2,1/($C$1:C13&lt;&gt;""),$C$1:C13)-1)</f>
        <v>-2.1987844118698474E-2</v>
      </c>
      <c r="F14" t="s">
        <v>12</v>
      </c>
      <c r="G14">
        <f>G9*SQRT(52)</f>
        <v>0.40672738867486541</v>
      </c>
    </row>
    <row r="15" spans="1:7" hidden="1" x14ac:dyDescent="0.25">
      <c r="A15" s="1">
        <v>44179</v>
      </c>
      <c r="B15" s="2">
        <v>274.19</v>
      </c>
      <c r="C15" t="str">
        <f t="shared" si="0"/>
        <v/>
      </c>
      <c r="D15" s="5" t="str" cm="1">
        <f t="array" ref="D15">IF(C15="","",C15/LOOKUP(2,1/($C$1:C14&lt;&gt;""),$C$1:C14)-1)</f>
        <v/>
      </c>
    </row>
    <row r="16" spans="1:7" hidden="1" x14ac:dyDescent="0.25">
      <c r="A16" s="1">
        <v>44180</v>
      </c>
      <c r="B16" s="2">
        <v>275.55</v>
      </c>
      <c r="C16" t="str">
        <f t="shared" si="0"/>
        <v/>
      </c>
      <c r="D16" s="5" t="str" cm="1">
        <f t="array" ref="D16">IF(C16="","",C16/LOOKUP(2,1/($C$1:C15&lt;&gt;""),$C$1:C15)-1)</f>
        <v/>
      </c>
    </row>
    <row r="17" spans="1:7" hidden="1" x14ac:dyDescent="0.25">
      <c r="A17" s="1">
        <v>44181</v>
      </c>
      <c r="B17" s="2">
        <v>275.67</v>
      </c>
      <c r="C17" t="str">
        <f t="shared" si="0"/>
        <v/>
      </c>
      <c r="D17" s="5" t="str" cm="1">
        <f t="array" ref="D17">IF(C17="","",C17/LOOKUP(2,1/($C$1:C16&lt;&gt;""),$C$1:C16)-1)</f>
        <v/>
      </c>
    </row>
    <row r="18" spans="1:7" hidden="1" x14ac:dyDescent="0.25">
      <c r="A18" s="1">
        <v>44182</v>
      </c>
      <c r="B18" s="2">
        <v>274.48</v>
      </c>
      <c r="C18" t="str">
        <f t="shared" si="0"/>
        <v/>
      </c>
      <c r="D18" s="5" t="str" cm="1">
        <f t="array" ref="D18">IF(C18="","",C18/LOOKUP(2,1/($C$1:C17&lt;&gt;""),$C$1:C17)-1)</f>
        <v/>
      </c>
    </row>
    <row r="19" spans="1:7" x14ac:dyDescent="0.25">
      <c r="A19" s="1">
        <v>44183</v>
      </c>
      <c r="B19" s="2">
        <v>276.39999999999998</v>
      </c>
      <c r="C19">
        <f t="shared" si="0"/>
        <v>276.39999999999998</v>
      </c>
      <c r="D19" cm="1">
        <f t="array" ref="D19">IF(C19="","",C19/LOOKUP(2,1/($C$1:C18&lt;&gt;""),$C$1:C18)-1)</f>
        <v>1.0418570645220226E-2</v>
      </c>
    </row>
    <row r="20" spans="1:7" hidden="1" x14ac:dyDescent="0.25">
      <c r="A20" s="1">
        <v>44186</v>
      </c>
      <c r="B20" s="2">
        <v>272.79000000000002</v>
      </c>
      <c r="C20" t="str">
        <f t="shared" si="0"/>
        <v/>
      </c>
      <c r="D20" s="5" t="str" cm="1">
        <f t="array" ref="D20">IF(C20="","",C20/LOOKUP(2,1/($C$1:C19&lt;&gt;""),$C$1:C19)-1)</f>
        <v/>
      </c>
    </row>
    <row r="21" spans="1:7" hidden="1" x14ac:dyDescent="0.25">
      <c r="A21" s="1">
        <v>44187</v>
      </c>
      <c r="B21" s="2">
        <v>267.08999999999997</v>
      </c>
      <c r="C21" t="str">
        <f t="shared" si="0"/>
        <v/>
      </c>
      <c r="D21" s="5" t="str" cm="1">
        <f t="array" ref="D21">IF(C21="","",C21/LOOKUP(2,1/($C$1:C20&lt;&gt;""),$C$1:C20)-1)</f>
        <v/>
      </c>
    </row>
    <row r="22" spans="1:7" hidden="1" x14ac:dyDescent="0.25">
      <c r="A22" s="1">
        <v>44188</v>
      </c>
      <c r="B22" s="2">
        <v>268.11</v>
      </c>
      <c r="C22" t="str">
        <f t="shared" si="0"/>
        <v/>
      </c>
      <c r="D22" s="5" t="str" cm="1">
        <f t="array" ref="D22">IF(C22="","",C22/LOOKUP(2,1/($C$1:C21&lt;&gt;""),$C$1:C21)-1)</f>
        <v/>
      </c>
    </row>
    <row r="23" spans="1:7" x14ac:dyDescent="0.25">
      <c r="A23" s="1">
        <v>44189</v>
      </c>
      <c r="B23" s="2">
        <v>267.39999999999998</v>
      </c>
      <c r="C23">
        <f t="shared" si="0"/>
        <v>267.39999999999998</v>
      </c>
      <c r="D23" cm="1">
        <f t="array" ref="D23">IF(C23="","",C23/LOOKUP(2,1/($C$1:C22&lt;&gt;""),$C$1:C22)-1)</f>
        <v>-3.2561505065123009E-2</v>
      </c>
      <c r="F23" t="s">
        <v>13</v>
      </c>
      <c r="G23">
        <f>EXP(G14*SQRT(0.25/2))</f>
        <v>1.1546529784990081</v>
      </c>
    </row>
    <row r="24" spans="1:7" hidden="1" x14ac:dyDescent="0.25">
      <c r="A24" s="1">
        <v>44193</v>
      </c>
      <c r="B24" s="2">
        <v>277</v>
      </c>
      <c r="C24" t="str">
        <f t="shared" si="0"/>
        <v/>
      </c>
      <c r="D24" s="5" t="str" cm="1">
        <f t="array" ref="D24">IF(C24="","",C24/LOOKUP(2,1/($C$1:C23&lt;&gt;""),$C$1:C23)-1)</f>
        <v/>
      </c>
    </row>
    <row r="25" spans="1:7" hidden="1" x14ac:dyDescent="0.25">
      <c r="A25" s="1">
        <v>44194</v>
      </c>
      <c r="B25" s="2">
        <v>276.77999999999997</v>
      </c>
      <c r="C25" t="str">
        <f t="shared" si="0"/>
        <v/>
      </c>
      <c r="D25" s="5" t="str" cm="1">
        <f t="array" ref="D25">IF(C25="","",C25/LOOKUP(2,1/($C$1:C24&lt;&gt;""),$C$1:C24)-1)</f>
        <v/>
      </c>
    </row>
    <row r="26" spans="1:7" hidden="1" x14ac:dyDescent="0.25">
      <c r="A26" s="1">
        <v>44195</v>
      </c>
      <c r="B26" s="2">
        <v>271.87</v>
      </c>
      <c r="C26" t="str">
        <f t="shared" si="0"/>
        <v/>
      </c>
      <c r="D26" s="5" t="str" cm="1">
        <f t="array" ref="D26">IF(C26="","",C26/LOOKUP(2,1/($C$1:C25&lt;&gt;""),$C$1:C25)-1)</f>
        <v/>
      </c>
    </row>
    <row r="27" spans="1:7" x14ac:dyDescent="0.25">
      <c r="A27" s="1">
        <v>44196</v>
      </c>
      <c r="B27" s="2">
        <v>273.16000000000003</v>
      </c>
      <c r="C27">
        <f t="shared" si="0"/>
        <v>273.16000000000003</v>
      </c>
      <c r="D27" cm="1">
        <f t="array" ref="D27">IF(C27="","",C27/LOOKUP(2,1/($C$1:C26&lt;&gt;""),$C$1:C26)-1)</f>
        <v>2.1540762902019672E-2</v>
      </c>
      <c r="F27" t="s">
        <v>14</v>
      </c>
      <c r="G27">
        <f>1/G23</f>
        <v>0.86606107516385633</v>
      </c>
    </row>
    <row r="28" spans="1:7" hidden="1" x14ac:dyDescent="0.25">
      <c r="A28" s="1">
        <v>44200</v>
      </c>
      <c r="B28" s="2">
        <v>268.94</v>
      </c>
      <c r="C28" t="str">
        <f t="shared" si="0"/>
        <v/>
      </c>
      <c r="D28" s="5" t="str" cm="1">
        <f t="array" ref="D28">IF(C28="","",C28/LOOKUP(2,1/($C$1:C27&lt;&gt;""),$C$1:C27)-1)</f>
        <v/>
      </c>
    </row>
    <row r="29" spans="1:7" hidden="1" x14ac:dyDescent="0.25">
      <c r="A29" s="1">
        <v>44201</v>
      </c>
      <c r="B29" s="2">
        <v>270.97000000000003</v>
      </c>
      <c r="C29" t="str">
        <f t="shared" si="0"/>
        <v/>
      </c>
      <c r="D29" s="5" t="str" cm="1">
        <f t="array" ref="D29">IF(C29="","",C29/LOOKUP(2,1/($C$1:C28&lt;&gt;""),$C$1:C28)-1)</f>
        <v/>
      </c>
    </row>
    <row r="30" spans="1:7" hidden="1" x14ac:dyDescent="0.25">
      <c r="A30" s="1">
        <v>44202</v>
      </c>
      <c r="B30" s="2">
        <v>263.31</v>
      </c>
      <c r="C30" t="str">
        <f t="shared" si="0"/>
        <v/>
      </c>
      <c r="D30" s="5" t="str" cm="1">
        <f t="array" ref="D30">IF(C30="","",C30/LOOKUP(2,1/($C$1:C29&lt;&gt;""),$C$1:C29)-1)</f>
        <v/>
      </c>
    </row>
    <row r="31" spans="1:7" hidden="1" x14ac:dyDescent="0.25">
      <c r="A31" s="1">
        <v>44203</v>
      </c>
      <c r="B31" s="2">
        <v>268.74</v>
      </c>
      <c r="C31" t="str">
        <f t="shared" si="0"/>
        <v/>
      </c>
      <c r="D31" s="5" t="str" cm="1">
        <f t="array" ref="D31">IF(C31="","",C31/LOOKUP(2,1/($C$1:C30&lt;&gt;""),$C$1:C30)-1)</f>
        <v/>
      </c>
    </row>
    <row r="32" spans="1:7" x14ac:dyDescent="0.25">
      <c r="A32" s="1">
        <v>44204</v>
      </c>
      <c r="B32" s="2">
        <v>267.57</v>
      </c>
      <c r="C32">
        <f t="shared" si="0"/>
        <v>267.57</v>
      </c>
      <c r="D32" cm="1">
        <f t="array" ref="D32">IF(C32="","",C32/LOOKUP(2,1/($C$1:C31&lt;&gt;""),$C$1:C31)-1)</f>
        <v>-2.0464196807731816E-2</v>
      </c>
    </row>
    <row r="33" spans="1:4" hidden="1" x14ac:dyDescent="0.25">
      <c r="A33" s="1">
        <v>44207</v>
      </c>
      <c r="B33" s="2">
        <v>256.83999999999997</v>
      </c>
      <c r="C33" t="str">
        <f t="shared" si="0"/>
        <v/>
      </c>
      <c r="D33" s="5" t="str" cm="1">
        <f t="array" ref="D33">IF(C33="","",C33/LOOKUP(2,1/($C$1:C32&lt;&gt;""),$C$1:C32)-1)</f>
        <v/>
      </c>
    </row>
    <row r="34" spans="1:4" hidden="1" x14ac:dyDescent="0.25">
      <c r="A34" s="1">
        <v>44208</v>
      </c>
      <c r="B34" s="2">
        <v>251.09</v>
      </c>
      <c r="C34" t="str">
        <f t="shared" si="0"/>
        <v/>
      </c>
      <c r="D34" s="5" t="str" cm="1">
        <f t="array" ref="D34">IF(C34="","",C34/LOOKUP(2,1/($C$1:C33&lt;&gt;""),$C$1:C33)-1)</f>
        <v/>
      </c>
    </row>
    <row r="35" spans="1:4" hidden="1" x14ac:dyDescent="0.25">
      <c r="A35" s="1">
        <v>44209</v>
      </c>
      <c r="B35" s="2">
        <v>251.64</v>
      </c>
      <c r="C35" t="str">
        <f t="shared" si="0"/>
        <v/>
      </c>
      <c r="D35" s="5" t="str" cm="1">
        <f t="array" ref="D35">IF(C35="","",C35/LOOKUP(2,1/($C$1:C34&lt;&gt;""),$C$1:C34)-1)</f>
        <v/>
      </c>
    </row>
    <row r="36" spans="1:4" hidden="1" x14ac:dyDescent="0.25">
      <c r="A36" s="1">
        <v>44210</v>
      </c>
      <c r="B36" s="2">
        <v>245.64</v>
      </c>
      <c r="C36" t="str">
        <f t="shared" si="0"/>
        <v/>
      </c>
      <c r="D36" s="5" t="str" cm="1">
        <f t="array" ref="D36">IF(C36="","",C36/LOOKUP(2,1/($C$1:C35&lt;&gt;""),$C$1:C35)-1)</f>
        <v/>
      </c>
    </row>
    <row r="37" spans="1:4" x14ac:dyDescent="0.25">
      <c r="A37" s="1">
        <v>44211</v>
      </c>
      <c r="B37" s="2">
        <v>251.36</v>
      </c>
      <c r="C37">
        <f t="shared" si="0"/>
        <v>251.36</v>
      </c>
      <c r="D37" cm="1">
        <f t="array" ref="D37">IF(C37="","",C37/LOOKUP(2,1/($C$1:C36&lt;&gt;""),$C$1:C36)-1)</f>
        <v>-6.058227753485057E-2</v>
      </c>
    </row>
    <row r="38" spans="1:4" hidden="1" x14ac:dyDescent="0.25">
      <c r="A38" s="1">
        <v>44215</v>
      </c>
      <c r="B38" s="2">
        <v>261.10000000000002</v>
      </c>
      <c r="C38" t="str">
        <f t="shared" si="0"/>
        <v/>
      </c>
      <c r="D38" s="5" t="str" cm="1">
        <f t="array" ref="D38">IF(C38="","",C38/LOOKUP(2,1/($C$1:C37&lt;&gt;""),$C$1:C37)-1)</f>
        <v/>
      </c>
    </row>
    <row r="39" spans="1:4" hidden="1" x14ac:dyDescent="0.25">
      <c r="A39" s="1">
        <v>44216</v>
      </c>
      <c r="B39" s="2">
        <v>267.48</v>
      </c>
      <c r="C39" t="str">
        <f t="shared" si="0"/>
        <v/>
      </c>
      <c r="D39" s="5" t="str" cm="1">
        <f t="array" ref="D39">IF(C39="","",C39/LOOKUP(2,1/($C$1:C38&lt;&gt;""),$C$1:C38)-1)</f>
        <v/>
      </c>
    </row>
    <row r="40" spans="1:4" hidden="1" x14ac:dyDescent="0.25">
      <c r="A40" s="1">
        <v>44217</v>
      </c>
      <c r="B40" s="2">
        <v>272.87</v>
      </c>
      <c r="C40" t="str">
        <f t="shared" si="0"/>
        <v/>
      </c>
      <c r="D40" s="5" t="str" cm="1">
        <f t="array" ref="D40">IF(C40="","",C40/LOOKUP(2,1/($C$1:C39&lt;&gt;""),$C$1:C39)-1)</f>
        <v/>
      </c>
    </row>
    <row r="41" spans="1:4" x14ac:dyDescent="0.25">
      <c r="A41" s="1">
        <v>44218</v>
      </c>
      <c r="B41" s="2">
        <v>274.5</v>
      </c>
      <c r="C41">
        <f t="shared" si="0"/>
        <v>274.5</v>
      </c>
      <c r="D41" cm="1">
        <f t="array" ref="D41">IF(C41="","",C41/LOOKUP(2,1/($C$1:C40&lt;&gt;""),$C$1:C40)-1)</f>
        <v>9.2059197963080708E-2</v>
      </c>
    </row>
    <row r="42" spans="1:4" hidden="1" x14ac:dyDescent="0.25">
      <c r="A42" s="1">
        <v>44221</v>
      </c>
      <c r="B42" s="2">
        <v>278.01</v>
      </c>
      <c r="C42" t="str">
        <f t="shared" si="0"/>
        <v/>
      </c>
      <c r="D42" s="5" t="str" cm="1">
        <f t="array" ref="D42">IF(C42="","",C42/LOOKUP(2,1/($C$1:C41&lt;&gt;""),$C$1:C41)-1)</f>
        <v/>
      </c>
    </row>
    <row r="43" spans="1:4" hidden="1" x14ac:dyDescent="0.25">
      <c r="A43" s="1">
        <v>44222</v>
      </c>
      <c r="B43" s="2">
        <v>282.05</v>
      </c>
      <c r="C43" t="str">
        <f t="shared" si="0"/>
        <v/>
      </c>
      <c r="D43" s="5" t="str" cm="1">
        <f t="array" ref="D43">IF(C43="","",C43/LOOKUP(2,1/($C$1:C42&lt;&gt;""),$C$1:C42)-1)</f>
        <v/>
      </c>
    </row>
    <row r="44" spans="1:4" hidden="1" x14ac:dyDescent="0.25">
      <c r="A44" s="1">
        <v>44223</v>
      </c>
      <c r="B44" s="2">
        <v>272.14</v>
      </c>
      <c r="C44" t="str">
        <f t="shared" si="0"/>
        <v/>
      </c>
      <c r="D44" s="5" t="str" cm="1">
        <f t="array" ref="D44">IF(C44="","",C44/LOOKUP(2,1/($C$1:C43&lt;&gt;""),$C$1:C43)-1)</f>
        <v/>
      </c>
    </row>
    <row r="45" spans="1:4" hidden="1" x14ac:dyDescent="0.25">
      <c r="A45" s="1">
        <v>44224</v>
      </c>
      <c r="B45" s="2">
        <v>265</v>
      </c>
      <c r="C45" t="str">
        <f t="shared" si="0"/>
        <v/>
      </c>
      <c r="D45" s="5" t="str" cm="1">
        <f t="array" ref="D45">IF(C45="","",C45/LOOKUP(2,1/($C$1:C44&lt;&gt;""),$C$1:C44)-1)</f>
        <v/>
      </c>
    </row>
    <row r="46" spans="1:4" x14ac:dyDescent="0.25">
      <c r="A46" s="1">
        <v>44225</v>
      </c>
      <c r="B46" s="2">
        <v>258.33</v>
      </c>
      <c r="C46">
        <f t="shared" si="0"/>
        <v>258.33</v>
      </c>
      <c r="D46" cm="1">
        <f t="array" ref="D46">IF(C46="","",C46/LOOKUP(2,1/($C$1:C45&lt;&gt;""),$C$1:C45)-1)</f>
        <v>-5.8907103825136642E-2</v>
      </c>
    </row>
    <row r="47" spans="1:4" hidden="1" x14ac:dyDescent="0.25">
      <c r="A47" s="1">
        <v>44228</v>
      </c>
      <c r="B47" s="2">
        <v>262.01</v>
      </c>
      <c r="C47" t="str">
        <f t="shared" si="0"/>
        <v/>
      </c>
      <c r="D47" s="5" t="str" cm="1">
        <f t="array" ref="D47">IF(C47="","",C47/LOOKUP(2,1/($C$1:C46&lt;&gt;""),$C$1:C46)-1)</f>
        <v/>
      </c>
    </row>
    <row r="48" spans="1:4" hidden="1" x14ac:dyDescent="0.25">
      <c r="A48" s="1">
        <v>44229</v>
      </c>
      <c r="B48" s="2">
        <v>267.08</v>
      </c>
      <c r="C48" t="str">
        <f t="shared" si="0"/>
        <v/>
      </c>
      <c r="D48" s="5" t="str" cm="1">
        <f t="array" ref="D48">IF(C48="","",C48/LOOKUP(2,1/($C$1:C47&lt;&gt;""),$C$1:C47)-1)</f>
        <v/>
      </c>
    </row>
    <row r="49" spans="1:4" hidden="1" x14ac:dyDescent="0.25">
      <c r="A49" s="1">
        <v>44230</v>
      </c>
      <c r="B49" s="2">
        <v>266.64999999999998</v>
      </c>
      <c r="C49" t="str">
        <f t="shared" si="0"/>
        <v/>
      </c>
      <c r="D49" s="5" t="str" cm="1">
        <f t="array" ref="D49">IF(C49="","",C49/LOOKUP(2,1/($C$1:C48&lt;&gt;""),$C$1:C48)-1)</f>
        <v/>
      </c>
    </row>
    <row r="50" spans="1:4" hidden="1" x14ac:dyDescent="0.25">
      <c r="A50" s="1">
        <v>44231</v>
      </c>
      <c r="B50" s="2">
        <v>266.49</v>
      </c>
      <c r="C50" t="str">
        <f t="shared" si="0"/>
        <v/>
      </c>
      <c r="D50" s="5" t="str" cm="1">
        <f t="array" ref="D50">IF(C50="","",C50/LOOKUP(2,1/($C$1:C49&lt;&gt;""),$C$1:C49)-1)</f>
        <v/>
      </c>
    </row>
    <row r="51" spans="1:4" x14ac:dyDescent="0.25">
      <c r="A51" s="1">
        <v>44232</v>
      </c>
      <c r="B51" s="2">
        <v>268.10000000000002</v>
      </c>
      <c r="C51">
        <f t="shared" si="0"/>
        <v>268.10000000000002</v>
      </c>
      <c r="D51" cm="1">
        <f t="array" ref="D51">IF(C51="","",C51/LOOKUP(2,1/($C$1:C50&lt;&gt;""),$C$1:C50)-1)</f>
        <v>3.7819842836681827E-2</v>
      </c>
    </row>
    <row r="52" spans="1:4" hidden="1" x14ac:dyDescent="0.25">
      <c r="A52" s="1">
        <v>44235</v>
      </c>
      <c r="B52" s="2">
        <v>266.58</v>
      </c>
      <c r="C52" t="str">
        <f t="shared" si="0"/>
        <v/>
      </c>
      <c r="D52" s="5" t="str" cm="1">
        <f t="array" ref="D52">IF(C52="","",C52/LOOKUP(2,1/($C$1:C51&lt;&gt;""),$C$1:C51)-1)</f>
        <v/>
      </c>
    </row>
    <row r="53" spans="1:4" hidden="1" x14ac:dyDescent="0.25">
      <c r="A53" s="1">
        <v>44236</v>
      </c>
      <c r="B53" s="2">
        <v>269.45</v>
      </c>
      <c r="C53" t="str">
        <f t="shared" si="0"/>
        <v/>
      </c>
      <c r="D53" s="5" t="str" cm="1">
        <f t="array" ref="D53">IF(C53="","",C53/LOOKUP(2,1/($C$1:C52&lt;&gt;""),$C$1:C52)-1)</f>
        <v/>
      </c>
    </row>
    <row r="54" spans="1:4" hidden="1" x14ac:dyDescent="0.25">
      <c r="A54" s="1">
        <v>44237</v>
      </c>
      <c r="B54" s="2">
        <v>271.87</v>
      </c>
      <c r="C54" t="str">
        <f t="shared" si="0"/>
        <v/>
      </c>
      <c r="D54" s="5" t="str" cm="1">
        <f t="array" ref="D54">IF(C54="","",C54/LOOKUP(2,1/($C$1:C53&lt;&gt;""),$C$1:C53)-1)</f>
        <v/>
      </c>
    </row>
    <row r="55" spans="1:4" hidden="1" x14ac:dyDescent="0.25">
      <c r="A55" s="1">
        <v>44238</v>
      </c>
      <c r="B55" s="2">
        <v>270.39</v>
      </c>
      <c r="C55" t="str">
        <f t="shared" si="0"/>
        <v/>
      </c>
      <c r="D55" s="5" t="str" cm="1">
        <f t="array" ref="D55">IF(C55="","",C55/LOOKUP(2,1/($C$1:C54&lt;&gt;""),$C$1:C54)-1)</f>
        <v/>
      </c>
    </row>
    <row r="56" spans="1:4" x14ac:dyDescent="0.25">
      <c r="A56" s="1">
        <v>44239</v>
      </c>
      <c r="B56" s="2">
        <v>270.5</v>
      </c>
      <c r="C56">
        <f t="shared" si="0"/>
        <v>270.5</v>
      </c>
      <c r="D56" cm="1">
        <f t="array" ref="D56">IF(C56="","",C56/LOOKUP(2,1/($C$1:C55&lt;&gt;""),$C$1:C55)-1)</f>
        <v>8.951883625512691E-3</v>
      </c>
    </row>
    <row r="57" spans="1:4" hidden="1" x14ac:dyDescent="0.25">
      <c r="A57" s="1">
        <v>44243</v>
      </c>
      <c r="B57" s="2">
        <v>273.97000000000003</v>
      </c>
      <c r="C57" t="str">
        <f t="shared" si="0"/>
        <v/>
      </c>
      <c r="D57" s="5" t="str" cm="1">
        <f t="array" ref="D57">IF(C57="","",C57/LOOKUP(2,1/($C$1:C56&lt;&gt;""),$C$1:C56)-1)</f>
        <v/>
      </c>
    </row>
    <row r="58" spans="1:4" hidden="1" x14ac:dyDescent="0.25">
      <c r="A58" s="1">
        <v>44244</v>
      </c>
      <c r="B58" s="2">
        <v>273.57</v>
      </c>
      <c r="C58" t="str">
        <f t="shared" si="0"/>
        <v/>
      </c>
      <c r="D58" s="5" t="str" cm="1">
        <f t="array" ref="D58">IF(C58="","",C58/LOOKUP(2,1/($C$1:C57&lt;&gt;""),$C$1:C57)-1)</f>
        <v/>
      </c>
    </row>
    <row r="59" spans="1:4" hidden="1" x14ac:dyDescent="0.25">
      <c r="A59" s="1">
        <v>44245</v>
      </c>
      <c r="B59" s="2">
        <v>269.39</v>
      </c>
      <c r="C59" t="str">
        <f t="shared" si="0"/>
        <v/>
      </c>
      <c r="D59" s="5" t="str" cm="1">
        <f t="array" ref="D59">IF(C59="","",C59/LOOKUP(2,1/($C$1:C58&lt;&gt;""),$C$1:C58)-1)</f>
        <v/>
      </c>
    </row>
    <row r="60" spans="1:4" x14ac:dyDescent="0.25">
      <c r="A60" s="1">
        <v>44246</v>
      </c>
      <c r="B60" s="2">
        <v>261.56</v>
      </c>
      <c r="C60">
        <f t="shared" si="0"/>
        <v>261.56</v>
      </c>
      <c r="D60" cm="1">
        <f t="array" ref="D60">IF(C60="","",C60/LOOKUP(2,1/($C$1:C59&lt;&gt;""),$C$1:C59)-1)</f>
        <v>-3.3049907578558191E-2</v>
      </c>
    </row>
    <row r="61" spans="1:4" hidden="1" x14ac:dyDescent="0.25">
      <c r="A61" s="1">
        <v>44249</v>
      </c>
      <c r="B61" s="2">
        <v>260.33</v>
      </c>
      <c r="C61" t="str">
        <f t="shared" si="0"/>
        <v/>
      </c>
      <c r="D61" s="5" t="str" cm="1">
        <f t="array" ref="D61">IF(C61="","",C61/LOOKUP(2,1/($C$1:C60&lt;&gt;""),$C$1:C60)-1)</f>
        <v/>
      </c>
    </row>
    <row r="62" spans="1:4" hidden="1" x14ac:dyDescent="0.25">
      <c r="A62" s="1">
        <v>44250</v>
      </c>
      <c r="B62" s="2">
        <v>265.85500000000002</v>
      </c>
      <c r="C62" t="str">
        <f t="shared" si="0"/>
        <v/>
      </c>
      <c r="D62" s="5" t="str" cm="1">
        <f t="array" ref="D62">IF(C62="","",C62/LOOKUP(2,1/($C$1:C61&lt;&gt;""),$C$1:C61)-1)</f>
        <v/>
      </c>
    </row>
    <row r="63" spans="1:4" hidden="1" x14ac:dyDescent="0.25">
      <c r="A63" s="1">
        <v>44251</v>
      </c>
      <c r="B63" s="2">
        <v>264.31</v>
      </c>
      <c r="C63" t="str">
        <f t="shared" si="0"/>
        <v/>
      </c>
      <c r="D63" s="5" t="str" cm="1">
        <f t="array" ref="D63">IF(C63="","",C63/LOOKUP(2,1/($C$1:C62&lt;&gt;""),$C$1:C62)-1)</f>
        <v/>
      </c>
    </row>
    <row r="64" spans="1:4" hidden="1" x14ac:dyDescent="0.25">
      <c r="A64" s="1">
        <v>44252</v>
      </c>
      <c r="B64" s="2">
        <v>254.69</v>
      </c>
      <c r="C64" t="str">
        <f t="shared" si="0"/>
        <v/>
      </c>
      <c r="D64" s="5" t="str" cm="1">
        <f t="array" ref="D64">IF(C64="","",C64/LOOKUP(2,1/($C$1:C63&lt;&gt;""),$C$1:C63)-1)</f>
        <v/>
      </c>
    </row>
    <row r="65" spans="1:4" x14ac:dyDescent="0.25">
      <c r="A65" s="1">
        <v>44253</v>
      </c>
      <c r="B65" s="2">
        <v>257.62</v>
      </c>
      <c r="C65">
        <f t="shared" si="0"/>
        <v>257.62</v>
      </c>
      <c r="D65" cm="1">
        <f t="array" ref="D65">IF(C65="","",C65/LOOKUP(2,1/($C$1:C64&lt;&gt;""),$C$1:C64)-1)</f>
        <v>-1.5063465361676132E-2</v>
      </c>
    </row>
    <row r="66" spans="1:4" hidden="1" x14ac:dyDescent="0.25">
      <c r="A66" s="1">
        <v>44256</v>
      </c>
      <c r="B66" s="2">
        <v>264.91000000000003</v>
      </c>
      <c r="C66" t="str">
        <f t="shared" si="0"/>
        <v/>
      </c>
      <c r="D66" s="5" t="str" cm="1">
        <f t="array" ref="D66">IF(C66="","",C66/LOOKUP(2,1/($C$1:C65&lt;&gt;""),$C$1:C65)-1)</f>
        <v/>
      </c>
    </row>
    <row r="67" spans="1:4" hidden="1" x14ac:dyDescent="0.25">
      <c r="A67" s="1">
        <v>44257</v>
      </c>
      <c r="B67" s="2">
        <v>259</v>
      </c>
      <c r="C67" t="str">
        <f t="shared" ref="C67:C130" si="1">IF(WEEKNUM(A67)&lt;&gt;WEEKNUM(A68),B67,"")</f>
        <v/>
      </c>
      <c r="D67" s="5" t="str" cm="1">
        <f t="array" ref="D67">IF(C67="","",C67/LOOKUP(2,1/($C$1:C66&lt;&gt;""),$C$1:C66)-1)</f>
        <v/>
      </c>
    </row>
    <row r="68" spans="1:4" hidden="1" x14ac:dyDescent="0.25">
      <c r="A68" s="1">
        <v>44258</v>
      </c>
      <c r="B68" s="2">
        <v>255.41</v>
      </c>
      <c r="C68" t="str">
        <f t="shared" si="1"/>
        <v/>
      </c>
      <c r="D68" s="5" t="str" cm="1">
        <f t="array" ref="D68">IF(C68="","",C68/LOOKUP(2,1/($C$1:C67&lt;&gt;""),$C$1:C67)-1)</f>
        <v/>
      </c>
    </row>
    <row r="69" spans="1:4" hidden="1" x14ac:dyDescent="0.25">
      <c r="A69" s="1">
        <v>44259</v>
      </c>
      <c r="B69" s="2">
        <v>257.64</v>
      </c>
      <c r="C69" t="str">
        <f t="shared" si="1"/>
        <v/>
      </c>
      <c r="D69" s="5" t="str" cm="1">
        <f t="array" ref="D69">IF(C69="","",C69/LOOKUP(2,1/($C$1:C68&lt;&gt;""),$C$1:C68)-1)</f>
        <v/>
      </c>
    </row>
    <row r="70" spans="1:4" x14ac:dyDescent="0.25">
      <c r="A70" s="1">
        <v>44260</v>
      </c>
      <c r="B70" s="2">
        <v>264.27999999999997</v>
      </c>
      <c r="C70">
        <f t="shared" si="1"/>
        <v>264.27999999999997</v>
      </c>
      <c r="D70" cm="1">
        <f t="array" ref="D70">IF(C70="","",C70/LOOKUP(2,1/($C$1:C69&lt;&gt;""),$C$1:C69)-1)</f>
        <v>2.585203012188475E-2</v>
      </c>
    </row>
    <row r="71" spans="1:4" hidden="1" x14ac:dyDescent="0.25">
      <c r="A71" s="1">
        <v>44263</v>
      </c>
      <c r="B71" s="2">
        <v>255.31</v>
      </c>
      <c r="C71" t="str">
        <f t="shared" si="1"/>
        <v/>
      </c>
      <c r="D71" s="5" t="str" cm="1">
        <f t="array" ref="D71">IF(C71="","",C71/LOOKUP(2,1/($C$1:C70&lt;&gt;""),$C$1:C70)-1)</f>
        <v/>
      </c>
    </row>
    <row r="72" spans="1:4" hidden="1" x14ac:dyDescent="0.25">
      <c r="A72" s="1">
        <v>44264</v>
      </c>
      <c r="B72" s="2">
        <v>265.74</v>
      </c>
      <c r="C72" t="str">
        <f t="shared" si="1"/>
        <v/>
      </c>
      <c r="D72" s="5" t="str" cm="1">
        <f t="array" ref="D72">IF(C72="","",C72/LOOKUP(2,1/($C$1:C71&lt;&gt;""),$C$1:C71)-1)</f>
        <v/>
      </c>
    </row>
    <row r="73" spans="1:4" hidden="1" x14ac:dyDescent="0.25">
      <c r="A73" s="1">
        <v>44265</v>
      </c>
      <c r="B73" s="2">
        <v>264.89999999999998</v>
      </c>
      <c r="C73" t="str">
        <f t="shared" si="1"/>
        <v/>
      </c>
      <c r="D73" s="5" t="str" cm="1">
        <f t="array" ref="D73">IF(C73="","",C73/LOOKUP(2,1/($C$1:C72&lt;&gt;""),$C$1:C72)-1)</f>
        <v/>
      </c>
    </row>
    <row r="74" spans="1:4" hidden="1" x14ac:dyDescent="0.25">
      <c r="A74" s="1">
        <v>44266</v>
      </c>
      <c r="B74" s="2">
        <v>273.88</v>
      </c>
      <c r="C74" t="str">
        <f t="shared" si="1"/>
        <v/>
      </c>
      <c r="D74" s="5" t="str" cm="1">
        <f t="array" ref="D74">IF(C74="","",C74/LOOKUP(2,1/($C$1:C73&lt;&gt;""),$C$1:C73)-1)</f>
        <v/>
      </c>
    </row>
    <row r="75" spans="1:4" x14ac:dyDescent="0.25">
      <c r="A75" s="1">
        <v>44267</v>
      </c>
      <c r="B75" s="2">
        <v>268.39999999999998</v>
      </c>
      <c r="C75">
        <f t="shared" si="1"/>
        <v>268.39999999999998</v>
      </c>
      <c r="D75" cm="1">
        <f t="array" ref="D75">IF(C75="","",C75/LOOKUP(2,1/($C$1:C74&lt;&gt;""),$C$1:C74)-1)</f>
        <v>1.5589526260027187E-2</v>
      </c>
    </row>
    <row r="76" spans="1:4" hidden="1" x14ac:dyDescent="0.25">
      <c r="A76" s="1">
        <v>44270</v>
      </c>
      <c r="B76" s="2">
        <v>273.75</v>
      </c>
      <c r="C76" t="str">
        <f t="shared" si="1"/>
        <v/>
      </c>
      <c r="D76" s="5" t="str" cm="1">
        <f t="array" ref="D76">IF(C76="","",C76/LOOKUP(2,1/($C$1:C75&lt;&gt;""),$C$1:C75)-1)</f>
        <v/>
      </c>
    </row>
    <row r="77" spans="1:4" hidden="1" x14ac:dyDescent="0.25">
      <c r="A77" s="1">
        <v>44271</v>
      </c>
      <c r="B77" s="2">
        <v>279.27999999999997</v>
      </c>
      <c r="C77" t="str">
        <f t="shared" si="1"/>
        <v/>
      </c>
      <c r="D77" s="5" t="str" cm="1">
        <f t="array" ref="D77">IF(C77="","",C77/LOOKUP(2,1/($C$1:C76&lt;&gt;""),$C$1:C76)-1)</f>
        <v/>
      </c>
    </row>
    <row r="78" spans="1:4" hidden="1" x14ac:dyDescent="0.25">
      <c r="A78" s="1">
        <v>44272</v>
      </c>
      <c r="B78" s="2">
        <v>284.01</v>
      </c>
      <c r="C78" t="str">
        <f t="shared" si="1"/>
        <v/>
      </c>
      <c r="D78" s="5" t="str" cm="1">
        <f t="array" ref="D78">IF(C78="","",C78/LOOKUP(2,1/($C$1:C77&lt;&gt;""),$C$1:C77)-1)</f>
        <v/>
      </c>
    </row>
    <row r="79" spans="1:4" hidden="1" x14ac:dyDescent="0.25">
      <c r="A79" s="1">
        <v>44273</v>
      </c>
      <c r="B79" s="2">
        <v>278.62</v>
      </c>
      <c r="C79" t="str">
        <f t="shared" si="1"/>
        <v/>
      </c>
      <c r="D79" s="5" t="str" cm="1">
        <f t="array" ref="D79">IF(C79="","",C79/LOOKUP(2,1/($C$1:C78&lt;&gt;""),$C$1:C78)-1)</f>
        <v/>
      </c>
    </row>
    <row r="80" spans="1:4" x14ac:dyDescent="0.25">
      <c r="A80" s="1">
        <v>44274</v>
      </c>
      <c r="B80" s="2">
        <v>290.11</v>
      </c>
      <c r="C80">
        <f t="shared" si="1"/>
        <v>290.11</v>
      </c>
      <c r="D80" cm="1">
        <f t="array" ref="D80">IF(C80="","",C80/LOOKUP(2,1/($C$1:C79&lt;&gt;""),$C$1:C79)-1)</f>
        <v>8.0886736214605293E-2</v>
      </c>
    </row>
    <row r="81" spans="1:4" hidden="1" x14ac:dyDescent="0.25">
      <c r="A81" s="1">
        <v>44277</v>
      </c>
      <c r="B81" s="2">
        <v>293.54000000000002</v>
      </c>
      <c r="C81" t="str">
        <f t="shared" si="1"/>
        <v/>
      </c>
      <c r="D81" s="5" t="str" cm="1">
        <f t="array" ref="D81">IF(C81="","",C81/LOOKUP(2,1/($C$1:C80&lt;&gt;""),$C$1:C80)-1)</f>
        <v/>
      </c>
    </row>
    <row r="82" spans="1:4" hidden="1" x14ac:dyDescent="0.25">
      <c r="A82" s="1">
        <v>44278</v>
      </c>
      <c r="B82" s="2">
        <v>290.63</v>
      </c>
      <c r="C82" t="str">
        <f t="shared" si="1"/>
        <v/>
      </c>
      <c r="D82" s="5" t="str" cm="1">
        <f t="array" ref="D82">IF(C82="","",C82/LOOKUP(2,1/($C$1:C81&lt;&gt;""),$C$1:C81)-1)</f>
        <v/>
      </c>
    </row>
    <row r="83" spans="1:4" hidden="1" x14ac:dyDescent="0.25">
      <c r="A83" s="1">
        <v>44279</v>
      </c>
      <c r="B83" s="2">
        <v>282.14</v>
      </c>
      <c r="C83" t="str">
        <f t="shared" si="1"/>
        <v/>
      </c>
      <c r="D83" s="5" t="str" cm="1">
        <f t="array" ref="D83">IF(C83="","",C83/LOOKUP(2,1/($C$1:C82&lt;&gt;""),$C$1:C82)-1)</f>
        <v/>
      </c>
    </row>
    <row r="84" spans="1:4" hidden="1" x14ac:dyDescent="0.25">
      <c r="A84" s="1">
        <v>44280</v>
      </c>
      <c r="B84" s="2">
        <v>278.74</v>
      </c>
      <c r="C84" t="str">
        <f t="shared" si="1"/>
        <v/>
      </c>
      <c r="D84" s="5" t="str" cm="1">
        <f t="array" ref="D84">IF(C84="","",C84/LOOKUP(2,1/($C$1:C83&lt;&gt;""),$C$1:C83)-1)</f>
        <v/>
      </c>
    </row>
    <row r="85" spans="1:4" x14ac:dyDescent="0.25">
      <c r="A85" s="1">
        <v>44281</v>
      </c>
      <c r="B85" s="2">
        <v>283.02</v>
      </c>
      <c r="C85">
        <f t="shared" si="1"/>
        <v>283.02</v>
      </c>
      <c r="D85" cm="1">
        <f t="array" ref="D85">IF(C85="","",C85/LOOKUP(2,1/($C$1:C84&lt;&gt;""),$C$1:C84)-1)</f>
        <v>-2.4439005894316024E-2</v>
      </c>
    </row>
    <row r="86" spans="1:4" hidden="1" x14ac:dyDescent="0.25">
      <c r="A86" s="1">
        <v>44284</v>
      </c>
      <c r="B86" s="2">
        <v>290.82</v>
      </c>
      <c r="C86" t="str">
        <f t="shared" si="1"/>
        <v/>
      </c>
      <c r="D86" s="5" t="str" cm="1">
        <f t="array" ref="D86">IF(C86="","",C86/LOOKUP(2,1/($C$1:C85&lt;&gt;""),$C$1:C85)-1)</f>
        <v/>
      </c>
    </row>
    <row r="87" spans="1:4" hidden="1" x14ac:dyDescent="0.25">
      <c r="A87" s="1">
        <v>44285</v>
      </c>
      <c r="B87" s="2">
        <v>288</v>
      </c>
      <c r="C87" t="str">
        <f t="shared" si="1"/>
        <v/>
      </c>
      <c r="D87" s="5" t="str" cm="1">
        <f t="array" ref="D87">IF(C87="","",C87/LOOKUP(2,1/($C$1:C86&lt;&gt;""),$C$1:C86)-1)</f>
        <v/>
      </c>
    </row>
    <row r="88" spans="1:4" hidden="1" x14ac:dyDescent="0.25">
      <c r="A88" s="1">
        <v>44286</v>
      </c>
      <c r="B88" s="2">
        <v>294.52999999999997</v>
      </c>
      <c r="C88" t="str">
        <f t="shared" si="1"/>
        <v/>
      </c>
      <c r="D88" s="5" t="str" cm="1">
        <f t="array" ref="D88">IF(C88="","",C88/LOOKUP(2,1/($C$1:C87&lt;&gt;""),$C$1:C87)-1)</f>
        <v/>
      </c>
    </row>
    <row r="89" spans="1:4" x14ac:dyDescent="0.25">
      <c r="A89" s="1">
        <v>44287</v>
      </c>
      <c r="B89" s="2">
        <v>298.66000000000003</v>
      </c>
      <c r="C89">
        <f t="shared" si="1"/>
        <v>298.66000000000003</v>
      </c>
      <c r="D89" cm="1">
        <f t="array" ref="D89">IF(C89="","",C89/LOOKUP(2,1/($C$1:C88&lt;&gt;""),$C$1:C88)-1)</f>
        <v>5.5261112288884418E-2</v>
      </c>
    </row>
    <row r="90" spans="1:4" hidden="1" x14ac:dyDescent="0.25">
      <c r="A90" s="1">
        <v>44291</v>
      </c>
      <c r="B90" s="2">
        <v>308.91000000000003</v>
      </c>
      <c r="C90" t="str">
        <f t="shared" si="1"/>
        <v/>
      </c>
      <c r="D90" s="5" t="str" cm="1">
        <f t="array" ref="D90">IF(C90="","",C90/LOOKUP(2,1/($C$1:C89&lt;&gt;""),$C$1:C89)-1)</f>
        <v/>
      </c>
    </row>
    <row r="91" spans="1:4" hidden="1" x14ac:dyDescent="0.25">
      <c r="A91" s="1">
        <v>44292</v>
      </c>
      <c r="B91" s="2">
        <v>306.26</v>
      </c>
      <c r="C91" t="str">
        <f t="shared" si="1"/>
        <v/>
      </c>
      <c r="D91" s="5" t="str" cm="1">
        <f t="array" ref="D91">IF(C91="","",C91/LOOKUP(2,1/($C$1:C90&lt;&gt;""),$C$1:C90)-1)</f>
        <v/>
      </c>
    </row>
    <row r="92" spans="1:4" hidden="1" x14ac:dyDescent="0.25">
      <c r="A92" s="1">
        <v>44293</v>
      </c>
      <c r="B92" s="2">
        <v>313.08999999999997</v>
      </c>
      <c r="C92" t="str">
        <f t="shared" si="1"/>
        <v/>
      </c>
      <c r="D92" s="5" t="str" cm="1">
        <f t="array" ref="D92">IF(C92="","",C92/LOOKUP(2,1/($C$1:C91&lt;&gt;""),$C$1:C91)-1)</f>
        <v/>
      </c>
    </row>
    <row r="93" spans="1:4" hidden="1" x14ac:dyDescent="0.25">
      <c r="A93" s="1">
        <v>44294</v>
      </c>
      <c r="B93" s="2">
        <v>313.02</v>
      </c>
      <c r="C93" t="str">
        <f t="shared" si="1"/>
        <v/>
      </c>
      <c r="D93" s="5" t="str" cm="1">
        <f t="array" ref="D93">IF(C93="","",C93/LOOKUP(2,1/($C$1:C92&lt;&gt;""),$C$1:C92)-1)</f>
        <v/>
      </c>
    </row>
    <row r="94" spans="1:4" x14ac:dyDescent="0.25">
      <c r="A94" s="1">
        <v>44295</v>
      </c>
      <c r="B94" s="2">
        <v>312.45999999999998</v>
      </c>
      <c r="C94">
        <f t="shared" si="1"/>
        <v>312.45999999999998</v>
      </c>
      <c r="D94" cm="1">
        <f t="array" ref="D94">IF(C94="","",C94/LOOKUP(2,1/($C$1:C93&lt;&gt;""),$C$1:C93)-1)</f>
        <v>4.620638853545822E-2</v>
      </c>
    </row>
    <row r="95" spans="1:4" hidden="1" x14ac:dyDescent="0.25">
      <c r="A95" s="1">
        <v>44298</v>
      </c>
      <c r="B95" s="2">
        <v>311.54000000000002</v>
      </c>
      <c r="C95" t="str">
        <f t="shared" si="1"/>
        <v/>
      </c>
      <c r="D95" s="5" t="str" cm="1">
        <f t="array" ref="D95">IF(C95="","",C95/LOOKUP(2,1/($C$1:C94&lt;&gt;""),$C$1:C94)-1)</f>
        <v/>
      </c>
    </row>
    <row r="96" spans="1:4" hidden="1" x14ac:dyDescent="0.25">
      <c r="A96" s="1">
        <v>44299</v>
      </c>
      <c r="B96" s="2">
        <v>309.76</v>
      </c>
      <c r="C96" t="str">
        <f t="shared" si="1"/>
        <v/>
      </c>
      <c r="D96" s="5" t="str" cm="1">
        <f t="array" ref="D96">IF(C96="","",C96/LOOKUP(2,1/($C$1:C95&lt;&gt;""),$C$1:C95)-1)</f>
        <v/>
      </c>
    </row>
    <row r="97" spans="1:4" hidden="1" x14ac:dyDescent="0.25">
      <c r="A97" s="1">
        <v>44300</v>
      </c>
      <c r="B97" s="2">
        <v>302.82</v>
      </c>
      <c r="C97" t="str">
        <f t="shared" si="1"/>
        <v/>
      </c>
      <c r="D97" s="5" t="str" cm="1">
        <f t="array" ref="D97">IF(C97="","",C97/LOOKUP(2,1/($C$1:C96&lt;&gt;""),$C$1:C96)-1)</f>
        <v/>
      </c>
    </row>
    <row r="98" spans="1:4" hidden="1" x14ac:dyDescent="0.25">
      <c r="A98" s="1">
        <v>44301</v>
      </c>
      <c r="B98" s="2">
        <v>307.82</v>
      </c>
      <c r="C98" t="str">
        <f t="shared" si="1"/>
        <v/>
      </c>
      <c r="D98" s="5" t="str" cm="1">
        <f t="array" ref="D98">IF(C98="","",C98/LOOKUP(2,1/($C$1:C97&lt;&gt;""),$C$1:C97)-1)</f>
        <v/>
      </c>
    </row>
    <row r="99" spans="1:4" x14ac:dyDescent="0.25">
      <c r="A99" s="1">
        <v>44302</v>
      </c>
      <c r="B99" s="2">
        <v>306.18</v>
      </c>
      <c r="C99">
        <f t="shared" si="1"/>
        <v>306.18</v>
      </c>
      <c r="D99" cm="1">
        <f t="array" ref="D99">IF(C99="","",C99/LOOKUP(2,1/($C$1:C98&lt;&gt;""),$C$1:C98)-1)</f>
        <v>-2.0098572617294974E-2</v>
      </c>
    </row>
    <row r="100" spans="1:4" hidden="1" x14ac:dyDescent="0.25">
      <c r="A100" s="1">
        <v>44305</v>
      </c>
      <c r="B100" s="2">
        <v>302.24</v>
      </c>
      <c r="C100" t="str">
        <f t="shared" si="1"/>
        <v/>
      </c>
      <c r="D100" s="5" t="str" cm="1">
        <f t="array" ref="D100">IF(C100="","",C100/LOOKUP(2,1/($C$1:C99&lt;&gt;""),$C$1:C99)-1)</f>
        <v/>
      </c>
    </row>
    <row r="101" spans="1:4" hidden="1" x14ac:dyDescent="0.25">
      <c r="A101" s="1">
        <v>44306</v>
      </c>
      <c r="B101" s="2">
        <v>302.64999999999998</v>
      </c>
      <c r="C101" t="str">
        <f t="shared" si="1"/>
        <v/>
      </c>
      <c r="D101" s="5" t="str" cm="1">
        <f t="array" ref="D101">IF(C101="","",C101/LOOKUP(2,1/($C$1:C100&lt;&gt;""),$C$1:C100)-1)</f>
        <v/>
      </c>
    </row>
    <row r="102" spans="1:4" hidden="1" x14ac:dyDescent="0.25">
      <c r="A102" s="1">
        <v>44307</v>
      </c>
      <c r="B102" s="2">
        <v>301.47000000000003</v>
      </c>
      <c r="C102" t="str">
        <f t="shared" si="1"/>
        <v/>
      </c>
      <c r="D102" s="5" t="str" cm="1">
        <f t="array" ref="D102">IF(C102="","",C102/LOOKUP(2,1/($C$1:C101&lt;&gt;""),$C$1:C101)-1)</f>
        <v/>
      </c>
    </row>
    <row r="103" spans="1:4" hidden="1" x14ac:dyDescent="0.25">
      <c r="A103" s="1">
        <v>44308</v>
      </c>
      <c r="B103" s="2">
        <v>296.52</v>
      </c>
      <c r="C103" t="str">
        <f t="shared" si="1"/>
        <v/>
      </c>
      <c r="D103" s="5" t="str" cm="1">
        <f t="array" ref="D103">IF(C103="","",C103/LOOKUP(2,1/($C$1:C102&lt;&gt;""),$C$1:C102)-1)</f>
        <v/>
      </c>
    </row>
    <row r="104" spans="1:4" x14ac:dyDescent="0.25">
      <c r="A104" s="1">
        <v>44309</v>
      </c>
      <c r="B104" s="2">
        <v>301.13</v>
      </c>
      <c r="C104">
        <f t="shared" si="1"/>
        <v>301.13</v>
      </c>
      <c r="D104" cm="1">
        <f t="array" ref="D104">IF(C104="","",C104/LOOKUP(2,1/($C$1:C103&lt;&gt;""),$C$1:C103)-1)</f>
        <v>-1.6493565876281924E-2</v>
      </c>
    </row>
    <row r="105" spans="1:4" hidden="1" x14ac:dyDescent="0.25">
      <c r="A105" s="1">
        <v>44312</v>
      </c>
      <c r="B105" s="2">
        <v>303.04000000000002</v>
      </c>
      <c r="C105" t="str">
        <f t="shared" si="1"/>
        <v/>
      </c>
      <c r="D105" s="5" t="str" cm="1">
        <f t="array" ref="D105">IF(C105="","",C105/LOOKUP(2,1/($C$1:C104&lt;&gt;""),$C$1:C104)-1)</f>
        <v/>
      </c>
    </row>
    <row r="106" spans="1:4" hidden="1" x14ac:dyDescent="0.25">
      <c r="A106" s="1">
        <v>44313</v>
      </c>
      <c r="B106" s="2">
        <v>303.57</v>
      </c>
      <c r="C106" t="str">
        <f t="shared" si="1"/>
        <v/>
      </c>
      <c r="D106" s="5" t="str" cm="1">
        <f t="array" ref="D106">IF(C106="","",C106/LOOKUP(2,1/($C$1:C105&lt;&gt;""),$C$1:C105)-1)</f>
        <v/>
      </c>
    </row>
    <row r="107" spans="1:4" hidden="1" x14ac:dyDescent="0.25">
      <c r="A107" s="1">
        <v>44314</v>
      </c>
      <c r="B107" s="2">
        <v>307.10000000000002</v>
      </c>
      <c r="C107" t="str">
        <f t="shared" si="1"/>
        <v/>
      </c>
      <c r="D107" s="5" t="str" cm="1">
        <f t="array" ref="D107">IF(C107="","",C107/LOOKUP(2,1/($C$1:C106&lt;&gt;""),$C$1:C106)-1)</f>
        <v/>
      </c>
    </row>
    <row r="108" spans="1:4" hidden="1" x14ac:dyDescent="0.25">
      <c r="A108" s="1">
        <v>44315</v>
      </c>
      <c r="B108" s="2">
        <v>329.51</v>
      </c>
      <c r="C108" t="str">
        <f t="shared" si="1"/>
        <v/>
      </c>
      <c r="D108" s="5" t="str" cm="1">
        <f t="array" ref="D108">IF(C108="","",C108/LOOKUP(2,1/($C$1:C107&lt;&gt;""),$C$1:C107)-1)</f>
        <v/>
      </c>
    </row>
    <row r="109" spans="1:4" x14ac:dyDescent="0.25">
      <c r="A109" s="1">
        <v>44316</v>
      </c>
      <c r="B109" s="2">
        <v>325.08</v>
      </c>
      <c r="C109">
        <f t="shared" si="1"/>
        <v>325.08</v>
      </c>
      <c r="D109" cm="1">
        <f t="array" ref="D109">IF(C109="","",C109/LOOKUP(2,1/($C$1:C108&lt;&gt;""),$C$1:C108)-1)</f>
        <v>7.953375618503622E-2</v>
      </c>
    </row>
    <row r="110" spans="1:4" hidden="1" x14ac:dyDescent="0.25">
      <c r="A110" s="1">
        <v>44319</v>
      </c>
      <c r="B110" s="2">
        <v>322.58</v>
      </c>
      <c r="C110" t="str">
        <f t="shared" si="1"/>
        <v/>
      </c>
      <c r="D110" s="5" t="str" cm="1">
        <f t="array" ref="D110">IF(C110="","",C110/LOOKUP(2,1/($C$1:C109&lt;&gt;""),$C$1:C109)-1)</f>
        <v/>
      </c>
    </row>
    <row r="111" spans="1:4" hidden="1" x14ac:dyDescent="0.25">
      <c r="A111" s="1">
        <v>44320</v>
      </c>
      <c r="B111" s="2">
        <v>318.36</v>
      </c>
      <c r="C111" t="str">
        <f t="shared" si="1"/>
        <v/>
      </c>
      <c r="D111" s="5" t="str" cm="1">
        <f t="array" ref="D111">IF(C111="","",C111/LOOKUP(2,1/($C$1:C110&lt;&gt;""),$C$1:C110)-1)</f>
        <v/>
      </c>
    </row>
    <row r="112" spans="1:4" hidden="1" x14ac:dyDescent="0.25">
      <c r="A112" s="1">
        <v>44321</v>
      </c>
      <c r="B112" s="2">
        <v>315.02</v>
      </c>
      <c r="C112" t="str">
        <f t="shared" si="1"/>
        <v/>
      </c>
      <c r="D112" s="5" t="str" cm="1">
        <f t="array" ref="D112">IF(C112="","",C112/LOOKUP(2,1/($C$1:C111&lt;&gt;""),$C$1:C111)-1)</f>
        <v/>
      </c>
    </row>
    <row r="113" spans="1:4" hidden="1" x14ac:dyDescent="0.25">
      <c r="A113" s="1">
        <v>44322</v>
      </c>
      <c r="B113" s="2">
        <v>320.02</v>
      </c>
      <c r="C113" t="str">
        <f t="shared" si="1"/>
        <v/>
      </c>
      <c r="D113" s="5" t="str" cm="1">
        <f t="array" ref="D113">IF(C113="","",C113/LOOKUP(2,1/($C$1:C112&lt;&gt;""),$C$1:C112)-1)</f>
        <v/>
      </c>
    </row>
    <row r="114" spans="1:4" x14ac:dyDescent="0.25">
      <c r="A114" s="1">
        <v>44323</v>
      </c>
      <c r="B114" s="2">
        <v>319.08</v>
      </c>
      <c r="C114">
        <f t="shared" si="1"/>
        <v>319.08</v>
      </c>
      <c r="D114" cm="1">
        <f t="array" ref="D114">IF(C114="","",C114/LOOKUP(2,1/($C$1:C113&lt;&gt;""),$C$1:C113)-1)</f>
        <v>-1.845699520118127E-2</v>
      </c>
    </row>
    <row r="115" spans="1:4" hidden="1" x14ac:dyDescent="0.25">
      <c r="A115" s="1">
        <v>44326</v>
      </c>
      <c r="B115" s="2">
        <v>305.97000000000003</v>
      </c>
      <c r="C115" t="str">
        <f t="shared" si="1"/>
        <v/>
      </c>
      <c r="D115" s="5" t="str" cm="1">
        <f t="array" ref="D115">IF(C115="","",C115/LOOKUP(2,1/($C$1:C114&lt;&gt;""),$C$1:C114)-1)</f>
        <v/>
      </c>
    </row>
    <row r="116" spans="1:4" hidden="1" x14ac:dyDescent="0.25">
      <c r="A116" s="1">
        <v>44327</v>
      </c>
      <c r="B116" s="2">
        <v>306.52999999999997</v>
      </c>
      <c r="C116" t="str">
        <f t="shared" si="1"/>
        <v/>
      </c>
      <c r="D116" s="5" t="str" cm="1">
        <f t="array" ref="D116">IF(C116="","",C116/LOOKUP(2,1/($C$1:C115&lt;&gt;""),$C$1:C115)-1)</f>
        <v/>
      </c>
    </row>
    <row r="117" spans="1:4" hidden="1" x14ac:dyDescent="0.25">
      <c r="A117" s="1">
        <v>44328</v>
      </c>
      <c r="B117" s="2">
        <v>302.55</v>
      </c>
      <c r="C117" t="str">
        <f t="shared" si="1"/>
        <v/>
      </c>
      <c r="D117" s="5" t="str" cm="1">
        <f t="array" ref="D117">IF(C117="","",C117/LOOKUP(2,1/($C$1:C116&lt;&gt;""),$C$1:C116)-1)</f>
        <v/>
      </c>
    </row>
    <row r="118" spans="1:4" hidden="1" x14ac:dyDescent="0.25">
      <c r="A118" s="1">
        <v>44329</v>
      </c>
      <c r="B118" s="2">
        <v>305.26</v>
      </c>
      <c r="C118" t="str">
        <f t="shared" si="1"/>
        <v/>
      </c>
      <c r="D118" s="5" t="str" cm="1">
        <f t="array" ref="D118">IF(C118="","",C118/LOOKUP(2,1/($C$1:C117&lt;&gt;""),$C$1:C117)-1)</f>
        <v/>
      </c>
    </row>
    <row r="119" spans="1:4" x14ac:dyDescent="0.25">
      <c r="A119" s="1">
        <v>44330</v>
      </c>
      <c r="B119" s="2">
        <v>315.94</v>
      </c>
      <c r="C119">
        <f t="shared" si="1"/>
        <v>315.94</v>
      </c>
      <c r="D119" cm="1">
        <f t="array" ref="D119">IF(C119="","",C119/LOOKUP(2,1/($C$1:C118&lt;&gt;""),$C$1:C118)-1)</f>
        <v>-9.8407922777986601E-3</v>
      </c>
    </row>
    <row r="120" spans="1:4" hidden="1" x14ac:dyDescent="0.25">
      <c r="A120" s="1">
        <v>44333</v>
      </c>
      <c r="B120" s="2">
        <v>315.45999999999998</v>
      </c>
      <c r="C120" t="str">
        <f t="shared" si="1"/>
        <v/>
      </c>
      <c r="D120" s="5" t="str" cm="1">
        <f t="array" ref="D120">IF(C120="","",C120/LOOKUP(2,1/($C$1:C119&lt;&gt;""),$C$1:C119)-1)</f>
        <v/>
      </c>
    </row>
    <row r="121" spans="1:4" hidden="1" x14ac:dyDescent="0.25">
      <c r="A121" s="1">
        <v>44334</v>
      </c>
      <c r="B121" s="2">
        <v>309.95999999999998</v>
      </c>
      <c r="C121" t="str">
        <f t="shared" si="1"/>
        <v/>
      </c>
      <c r="D121" s="5" t="str" cm="1">
        <f t="array" ref="D121">IF(C121="","",C121/LOOKUP(2,1/($C$1:C120&lt;&gt;""),$C$1:C120)-1)</f>
        <v/>
      </c>
    </row>
    <row r="122" spans="1:4" hidden="1" x14ac:dyDescent="0.25">
      <c r="A122" s="1">
        <v>44335</v>
      </c>
      <c r="B122" s="2">
        <v>313.58999999999997</v>
      </c>
      <c r="C122" t="str">
        <f t="shared" si="1"/>
        <v/>
      </c>
      <c r="D122" s="5" t="str" cm="1">
        <f t="array" ref="D122">IF(C122="","",C122/LOOKUP(2,1/($C$1:C121&lt;&gt;""),$C$1:C121)-1)</f>
        <v/>
      </c>
    </row>
    <row r="123" spans="1:4" hidden="1" x14ac:dyDescent="0.25">
      <c r="A123" s="1">
        <v>44336</v>
      </c>
      <c r="B123" s="2">
        <v>318.61</v>
      </c>
      <c r="C123" t="str">
        <f t="shared" si="1"/>
        <v/>
      </c>
      <c r="D123" s="5" t="str" cm="1">
        <f t="array" ref="D123">IF(C123="","",C123/LOOKUP(2,1/($C$1:C122&lt;&gt;""),$C$1:C122)-1)</f>
        <v/>
      </c>
    </row>
    <row r="124" spans="1:4" x14ac:dyDescent="0.25">
      <c r="A124" s="1">
        <v>44337</v>
      </c>
      <c r="B124" s="2">
        <v>316.23</v>
      </c>
      <c r="C124">
        <f t="shared" si="1"/>
        <v>316.23</v>
      </c>
      <c r="D124" cm="1">
        <f t="array" ref="D124">IF(C124="","",C124/LOOKUP(2,1/($C$1:C123&lt;&gt;""),$C$1:C123)-1)</f>
        <v>9.1789580300072338E-4</v>
      </c>
    </row>
    <row r="125" spans="1:4" hidden="1" x14ac:dyDescent="0.25">
      <c r="A125" s="1">
        <v>44340</v>
      </c>
      <c r="B125" s="2">
        <v>324.63</v>
      </c>
      <c r="C125" t="str">
        <f t="shared" si="1"/>
        <v/>
      </c>
      <c r="D125" s="5" t="str" cm="1">
        <f t="array" ref="D125">IF(C125="","",C125/LOOKUP(2,1/($C$1:C124&lt;&gt;""),$C$1:C124)-1)</f>
        <v/>
      </c>
    </row>
    <row r="126" spans="1:4" hidden="1" x14ac:dyDescent="0.25">
      <c r="A126" s="1">
        <v>44341</v>
      </c>
      <c r="B126" s="2">
        <v>327.79</v>
      </c>
      <c r="C126" t="str">
        <f t="shared" si="1"/>
        <v/>
      </c>
      <c r="D126" s="5" t="str" cm="1">
        <f t="array" ref="D126">IF(C126="","",C126/LOOKUP(2,1/($C$1:C125&lt;&gt;""),$C$1:C125)-1)</f>
        <v/>
      </c>
    </row>
    <row r="127" spans="1:4" hidden="1" x14ac:dyDescent="0.25">
      <c r="A127" s="1">
        <v>44342</v>
      </c>
      <c r="B127" s="2">
        <v>327.66000000000003</v>
      </c>
      <c r="C127" t="str">
        <f t="shared" si="1"/>
        <v/>
      </c>
      <c r="D127" s="5" t="str" cm="1">
        <f t="array" ref="D127">IF(C127="","",C127/LOOKUP(2,1/($C$1:C126&lt;&gt;""),$C$1:C126)-1)</f>
        <v/>
      </c>
    </row>
    <row r="128" spans="1:4" hidden="1" x14ac:dyDescent="0.25">
      <c r="A128" s="1">
        <v>44343</v>
      </c>
      <c r="B128" s="2">
        <v>332.75</v>
      </c>
      <c r="C128" t="str">
        <f t="shared" si="1"/>
        <v/>
      </c>
      <c r="D128" s="5" t="str" cm="1">
        <f t="array" ref="D128">IF(C128="","",C128/LOOKUP(2,1/($C$1:C127&lt;&gt;""),$C$1:C127)-1)</f>
        <v/>
      </c>
    </row>
    <row r="129" spans="1:4" x14ac:dyDescent="0.25">
      <c r="A129" s="1">
        <v>44344</v>
      </c>
      <c r="B129" s="2">
        <v>328.73</v>
      </c>
      <c r="C129">
        <f t="shared" si="1"/>
        <v>328.73</v>
      </c>
      <c r="D129" cm="1">
        <f t="array" ref="D129">IF(C129="","",C129/LOOKUP(2,1/($C$1:C128&lt;&gt;""),$C$1:C128)-1)</f>
        <v>3.9528191506182253E-2</v>
      </c>
    </row>
    <row r="130" spans="1:4" hidden="1" x14ac:dyDescent="0.25">
      <c r="A130" s="1">
        <v>44348</v>
      </c>
      <c r="B130" s="2">
        <v>329.13</v>
      </c>
      <c r="C130" t="str">
        <f t="shared" si="1"/>
        <v/>
      </c>
      <c r="D130" s="5" t="str" cm="1">
        <f t="array" ref="D130">IF(C130="","",C130/LOOKUP(2,1/($C$1:C129&lt;&gt;""),$C$1:C129)-1)</f>
        <v/>
      </c>
    </row>
    <row r="131" spans="1:4" hidden="1" x14ac:dyDescent="0.25">
      <c r="A131" s="1">
        <v>44349</v>
      </c>
      <c r="B131" s="2">
        <v>329.15</v>
      </c>
      <c r="C131" t="str">
        <f t="shared" ref="C131:C194" si="2">IF(WEEKNUM(A131)&lt;&gt;WEEKNUM(A132),B131,"")</f>
        <v/>
      </c>
      <c r="D131" s="5" t="str" cm="1">
        <f t="array" ref="D131">IF(C131="","",C131/LOOKUP(2,1/($C$1:C130&lt;&gt;""),$C$1:C130)-1)</f>
        <v/>
      </c>
    </row>
    <row r="132" spans="1:4" hidden="1" x14ac:dyDescent="0.25">
      <c r="A132" s="1">
        <v>44350</v>
      </c>
      <c r="B132" s="2">
        <v>326.04000000000002</v>
      </c>
      <c r="C132" t="str">
        <f t="shared" si="2"/>
        <v/>
      </c>
      <c r="D132" s="5" t="str" cm="1">
        <f t="array" ref="D132">IF(C132="","",C132/LOOKUP(2,1/($C$1:C131&lt;&gt;""),$C$1:C131)-1)</f>
        <v/>
      </c>
    </row>
    <row r="133" spans="1:4" x14ac:dyDescent="0.25">
      <c r="A133" s="1">
        <v>44351</v>
      </c>
      <c r="B133" s="2">
        <v>330.35</v>
      </c>
      <c r="C133">
        <f t="shared" si="2"/>
        <v>330.35</v>
      </c>
      <c r="D133" cm="1">
        <f t="array" ref="D133">IF(C133="","",C133/LOOKUP(2,1/($C$1:C132&lt;&gt;""),$C$1:C132)-1)</f>
        <v>4.9280564597085075E-3</v>
      </c>
    </row>
    <row r="134" spans="1:4" hidden="1" x14ac:dyDescent="0.25">
      <c r="A134" s="1">
        <v>44354</v>
      </c>
      <c r="B134" s="2">
        <v>336.58</v>
      </c>
      <c r="C134" t="str">
        <f t="shared" si="2"/>
        <v/>
      </c>
      <c r="D134" s="5" t="str" cm="1">
        <f t="array" ref="D134">IF(C134="","",C134/LOOKUP(2,1/($C$1:C133&lt;&gt;""),$C$1:C133)-1)</f>
        <v/>
      </c>
    </row>
    <row r="135" spans="1:4" hidden="1" x14ac:dyDescent="0.25">
      <c r="A135" s="1">
        <v>44355</v>
      </c>
      <c r="B135" s="2">
        <v>333.68</v>
      </c>
      <c r="C135" t="str">
        <f t="shared" si="2"/>
        <v/>
      </c>
      <c r="D135" s="5" t="str" cm="1">
        <f t="array" ref="D135">IF(C135="","",C135/LOOKUP(2,1/($C$1:C134&lt;&gt;""),$C$1:C134)-1)</f>
        <v/>
      </c>
    </row>
    <row r="136" spans="1:4" hidden="1" x14ac:dyDescent="0.25">
      <c r="A136" s="1">
        <v>44356</v>
      </c>
      <c r="B136" s="2">
        <v>330.25</v>
      </c>
      <c r="C136" t="str">
        <f t="shared" si="2"/>
        <v/>
      </c>
      <c r="D136" s="5" t="str" cm="1">
        <f t="array" ref="D136">IF(C136="","",C136/LOOKUP(2,1/($C$1:C135&lt;&gt;""),$C$1:C135)-1)</f>
        <v/>
      </c>
    </row>
    <row r="137" spans="1:4" hidden="1" x14ac:dyDescent="0.25">
      <c r="A137" s="1">
        <v>44357</v>
      </c>
      <c r="B137" s="2">
        <v>332.46</v>
      </c>
      <c r="C137" t="str">
        <f t="shared" si="2"/>
        <v/>
      </c>
      <c r="D137" s="5" t="str" cm="1">
        <f t="array" ref="D137">IF(C137="","",C137/LOOKUP(2,1/($C$1:C136&lt;&gt;""),$C$1:C136)-1)</f>
        <v/>
      </c>
    </row>
    <row r="138" spans="1:4" x14ac:dyDescent="0.25">
      <c r="A138" s="1">
        <v>44358</v>
      </c>
      <c r="B138" s="2">
        <v>331.26</v>
      </c>
      <c r="C138">
        <f t="shared" si="2"/>
        <v>331.26</v>
      </c>
      <c r="D138" cm="1">
        <f t="array" ref="D138">IF(C138="","",C138/LOOKUP(2,1/($C$1:C137&lt;&gt;""),$C$1:C137)-1)</f>
        <v>2.7546541546843439E-3</v>
      </c>
    </row>
    <row r="139" spans="1:4" hidden="1" x14ac:dyDescent="0.25">
      <c r="A139" s="1">
        <v>44361</v>
      </c>
      <c r="B139" s="2">
        <v>336.77</v>
      </c>
      <c r="C139" t="str">
        <f t="shared" si="2"/>
        <v/>
      </c>
      <c r="D139" s="5" t="str" cm="1">
        <f t="array" ref="D139">IF(C139="","",C139/LOOKUP(2,1/($C$1:C138&lt;&gt;""),$C$1:C138)-1)</f>
        <v/>
      </c>
    </row>
    <row r="140" spans="1:4" hidden="1" x14ac:dyDescent="0.25">
      <c r="A140" s="1">
        <v>44362</v>
      </c>
      <c r="B140" s="2">
        <v>336.75</v>
      </c>
      <c r="C140" t="str">
        <f t="shared" si="2"/>
        <v/>
      </c>
      <c r="D140" s="5" t="str" cm="1">
        <f t="array" ref="D140">IF(C140="","",C140/LOOKUP(2,1/($C$1:C139&lt;&gt;""),$C$1:C139)-1)</f>
        <v/>
      </c>
    </row>
    <row r="141" spans="1:4" hidden="1" x14ac:dyDescent="0.25">
      <c r="A141" s="1">
        <v>44363</v>
      </c>
      <c r="B141" s="2">
        <v>331.08</v>
      </c>
      <c r="C141" t="str">
        <f t="shared" si="2"/>
        <v/>
      </c>
      <c r="D141" s="5" t="str" cm="1">
        <f t="array" ref="D141">IF(C141="","",C141/LOOKUP(2,1/($C$1:C140&lt;&gt;""),$C$1:C140)-1)</f>
        <v/>
      </c>
    </row>
    <row r="142" spans="1:4" hidden="1" x14ac:dyDescent="0.25">
      <c r="A142" s="1">
        <v>44364</v>
      </c>
      <c r="B142" s="2">
        <v>336.51</v>
      </c>
      <c r="C142" t="str">
        <f t="shared" si="2"/>
        <v/>
      </c>
      <c r="D142" s="5" t="str" cm="1">
        <f t="array" ref="D142">IF(C142="","",C142/LOOKUP(2,1/($C$1:C141&lt;&gt;""),$C$1:C141)-1)</f>
        <v/>
      </c>
    </row>
    <row r="143" spans="1:4" x14ac:dyDescent="0.25">
      <c r="A143" s="1">
        <v>44365</v>
      </c>
      <c r="B143" s="2">
        <v>329.66</v>
      </c>
      <c r="C143">
        <f t="shared" si="2"/>
        <v>329.66</v>
      </c>
      <c r="D143" cm="1">
        <f t="array" ref="D143">IF(C143="","",C143/LOOKUP(2,1/($C$1:C142&lt;&gt;""),$C$1:C142)-1)</f>
        <v>-4.8300428666303574E-3</v>
      </c>
    </row>
    <row r="144" spans="1:4" hidden="1" x14ac:dyDescent="0.25">
      <c r="A144" s="1">
        <v>44368</v>
      </c>
      <c r="B144" s="2">
        <v>332.29</v>
      </c>
      <c r="C144" t="str">
        <f t="shared" si="2"/>
        <v/>
      </c>
      <c r="D144" s="5" t="str" cm="1">
        <f t="array" ref="D144">IF(C144="","",C144/LOOKUP(2,1/($C$1:C143&lt;&gt;""),$C$1:C143)-1)</f>
        <v/>
      </c>
    </row>
    <row r="145" spans="1:4" hidden="1" x14ac:dyDescent="0.25">
      <c r="A145" s="1">
        <v>44369</v>
      </c>
      <c r="B145" s="2">
        <v>339.03</v>
      </c>
      <c r="C145" t="str">
        <f t="shared" si="2"/>
        <v/>
      </c>
      <c r="D145" s="5" t="str" cm="1">
        <f t="array" ref="D145">IF(C145="","",C145/LOOKUP(2,1/($C$1:C144&lt;&gt;""),$C$1:C144)-1)</f>
        <v/>
      </c>
    </row>
    <row r="146" spans="1:4" hidden="1" x14ac:dyDescent="0.25">
      <c r="A146" s="1">
        <v>44370</v>
      </c>
      <c r="B146" s="2">
        <v>340.59</v>
      </c>
      <c r="C146" t="str">
        <f t="shared" si="2"/>
        <v/>
      </c>
      <c r="D146" s="5" t="str" cm="1">
        <f t="array" ref="D146">IF(C146="","",C146/LOOKUP(2,1/($C$1:C145&lt;&gt;""),$C$1:C145)-1)</f>
        <v/>
      </c>
    </row>
    <row r="147" spans="1:4" hidden="1" x14ac:dyDescent="0.25">
      <c r="A147" s="1">
        <v>44371</v>
      </c>
      <c r="B147" s="2">
        <v>343.18</v>
      </c>
      <c r="C147" t="str">
        <f t="shared" si="2"/>
        <v/>
      </c>
      <c r="D147" s="5" t="str" cm="1">
        <f t="array" ref="D147">IF(C147="","",C147/LOOKUP(2,1/($C$1:C146&lt;&gt;""),$C$1:C146)-1)</f>
        <v/>
      </c>
    </row>
    <row r="148" spans="1:4" x14ac:dyDescent="0.25">
      <c r="A148" s="1">
        <v>44372</v>
      </c>
      <c r="B148" s="2">
        <v>341.37</v>
      </c>
      <c r="C148">
        <f t="shared" si="2"/>
        <v>341.37</v>
      </c>
      <c r="D148" cm="1">
        <f t="array" ref="D148">IF(C148="","",C148/LOOKUP(2,1/($C$1:C147&lt;&gt;""),$C$1:C147)-1)</f>
        <v>3.5521446338651952E-2</v>
      </c>
    </row>
    <row r="149" spans="1:4" hidden="1" x14ac:dyDescent="0.25">
      <c r="A149" s="1">
        <v>44375</v>
      </c>
      <c r="B149" s="2">
        <v>355.64</v>
      </c>
      <c r="C149" t="str">
        <f t="shared" si="2"/>
        <v/>
      </c>
      <c r="D149" s="5" t="str" cm="1">
        <f t="array" ref="D149">IF(C149="","",C149/LOOKUP(2,1/($C$1:C148&lt;&gt;""),$C$1:C148)-1)</f>
        <v/>
      </c>
    </row>
    <row r="150" spans="1:4" hidden="1" x14ac:dyDescent="0.25">
      <c r="A150" s="1">
        <v>44376</v>
      </c>
      <c r="B150" s="2">
        <v>351.89</v>
      </c>
      <c r="C150" t="str">
        <f t="shared" si="2"/>
        <v/>
      </c>
      <c r="D150" s="5" t="str" cm="1">
        <f t="array" ref="D150">IF(C150="","",C150/LOOKUP(2,1/($C$1:C149&lt;&gt;""),$C$1:C149)-1)</f>
        <v/>
      </c>
    </row>
    <row r="151" spans="1:4" hidden="1" x14ac:dyDescent="0.25">
      <c r="A151" s="1">
        <v>44377</v>
      </c>
      <c r="B151" s="2">
        <v>347.71</v>
      </c>
      <c r="C151" t="str">
        <f t="shared" si="2"/>
        <v/>
      </c>
      <c r="D151" s="5" t="str" cm="1">
        <f t="array" ref="D151">IF(C151="","",C151/LOOKUP(2,1/($C$1:C150&lt;&gt;""),$C$1:C150)-1)</f>
        <v/>
      </c>
    </row>
    <row r="152" spans="1:4" hidden="1" x14ac:dyDescent="0.25">
      <c r="A152" s="1">
        <v>44378</v>
      </c>
      <c r="B152" s="2">
        <v>354.39</v>
      </c>
      <c r="C152" t="str">
        <f t="shared" si="2"/>
        <v/>
      </c>
      <c r="D152" s="5" t="str" cm="1">
        <f t="array" ref="D152">IF(C152="","",C152/LOOKUP(2,1/($C$1:C151&lt;&gt;""),$C$1:C151)-1)</f>
        <v/>
      </c>
    </row>
    <row r="153" spans="1:4" x14ac:dyDescent="0.25">
      <c r="A153" s="1">
        <v>44379</v>
      </c>
      <c r="B153" s="2">
        <v>354.7</v>
      </c>
      <c r="C153">
        <f t="shared" si="2"/>
        <v>354.7</v>
      </c>
      <c r="D153" cm="1">
        <f t="array" ref="D153">IF(C153="","",C153/LOOKUP(2,1/($C$1:C152&lt;&gt;""),$C$1:C152)-1)</f>
        <v>3.9048539707648544E-2</v>
      </c>
    </row>
    <row r="154" spans="1:4" hidden="1" x14ac:dyDescent="0.25">
      <c r="A154" s="1">
        <v>44383</v>
      </c>
      <c r="B154" s="2">
        <v>352.78</v>
      </c>
      <c r="C154" t="str">
        <f t="shared" si="2"/>
        <v/>
      </c>
      <c r="D154" s="5" t="str" cm="1">
        <f t="array" ref="D154">IF(C154="","",C154/LOOKUP(2,1/($C$1:C153&lt;&gt;""),$C$1:C153)-1)</f>
        <v/>
      </c>
    </row>
    <row r="155" spans="1:4" hidden="1" x14ac:dyDescent="0.25">
      <c r="A155" s="1">
        <v>44384</v>
      </c>
      <c r="B155" s="2">
        <v>350.49</v>
      </c>
      <c r="C155" t="str">
        <f t="shared" si="2"/>
        <v/>
      </c>
      <c r="D155" s="5" t="str" cm="1">
        <f t="array" ref="D155">IF(C155="","",C155/LOOKUP(2,1/($C$1:C154&lt;&gt;""),$C$1:C154)-1)</f>
        <v/>
      </c>
    </row>
    <row r="156" spans="1:4" hidden="1" x14ac:dyDescent="0.25">
      <c r="A156" s="1">
        <v>44385</v>
      </c>
      <c r="B156" s="2">
        <v>345.65</v>
      </c>
      <c r="C156" t="str">
        <f t="shared" si="2"/>
        <v/>
      </c>
      <c r="D156" s="5" t="str" cm="1">
        <f t="array" ref="D156">IF(C156="","",C156/LOOKUP(2,1/($C$1:C155&lt;&gt;""),$C$1:C155)-1)</f>
        <v/>
      </c>
    </row>
    <row r="157" spans="1:4" x14ac:dyDescent="0.25">
      <c r="A157" s="1">
        <v>44386</v>
      </c>
      <c r="B157" s="2">
        <v>350.42</v>
      </c>
      <c r="C157">
        <f t="shared" si="2"/>
        <v>350.42</v>
      </c>
      <c r="D157" cm="1">
        <f t="array" ref="D157">IF(C157="","",C157/LOOKUP(2,1/($C$1:C156&lt;&gt;""),$C$1:C156)-1)</f>
        <v>-1.2066535100084486E-2</v>
      </c>
    </row>
    <row r="158" spans="1:4" hidden="1" x14ac:dyDescent="0.25">
      <c r="A158" s="1">
        <v>44389</v>
      </c>
      <c r="B158" s="2">
        <v>353.16</v>
      </c>
      <c r="C158" t="str">
        <f t="shared" si="2"/>
        <v/>
      </c>
      <c r="D158" s="5" t="str" cm="1">
        <f t="array" ref="D158">IF(C158="","",C158/LOOKUP(2,1/($C$1:C157&lt;&gt;""),$C$1:C157)-1)</f>
        <v/>
      </c>
    </row>
    <row r="159" spans="1:4" hidden="1" x14ac:dyDescent="0.25">
      <c r="A159" s="1">
        <v>44390</v>
      </c>
      <c r="B159" s="2">
        <v>352.09</v>
      </c>
      <c r="C159" t="str">
        <f t="shared" si="2"/>
        <v/>
      </c>
      <c r="D159" s="5" t="str" cm="1">
        <f t="array" ref="D159">IF(C159="","",C159/LOOKUP(2,1/($C$1:C158&lt;&gt;""),$C$1:C158)-1)</f>
        <v/>
      </c>
    </row>
    <row r="160" spans="1:4" hidden="1" x14ac:dyDescent="0.25">
      <c r="A160" s="1">
        <v>44391</v>
      </c>
      <c r="B160" s="2">
        <v>347.63</v>
      </c>
      <c r="C160" t="str">
        <f t="shared" si="2"/>
        <v/>
      </c>
      <c r="D160" s="5" t="str" cm="1">
        <f t="array" ref="D160">IF(C160="","",C160/LOOKUP(2,1/($C$1:C159&lt;&gt;""),$C$1:C159)-1)</f>
        <v/>
      </c>
    </row>
    <row r="161" spans="1:4" hidden="1" x14ac:dyDescent="0.25">
      <c r="A161" s="1">
        <v>44392</v>
      </c>
      <c r="B161" s="2">
        <v>344.46</v>
      </c>
      <c r="C161" t="str">
        <f t="shared" si="2"/>
        <v/>
      </c>
      <c r="D161" s="5" t="str" cm="1">
        <f t="array" ref="D161">IF(C161="","",C161/LOOKUP(2,1/($C$1:C160&lt;&gt;""),$C$1:C160)-1)</f>
        <v/>
      </c>
    </row>
    <row r="162" spans="1:4" x14ac:dyDescent="0.25">
      <c r="A162" s="1">
        <v>44393</v>
      </c>
      <c r="B162" s="2">
        <v>341.16</v>
      </c>
      <c r="C162">
        <f t="shared" si="2"/>
        <v>341.16</v>
      </c>
      <c r="D162" cm="1">
        <f t="array" ref="D162">IF(C162="","",C162/LOOKUP(2,1/($C$1:C161&lt;&gt;""),$C$1:C161)-1)</f>
        <v>-2.6425432338336829E-2</v>
      </c>
    </row>
    <row r="163" spans="1:4" hidden="1" x14ac:dyDescent="0.25">
      <c r="A163" s="1">
        <v>44396</v>
      </c>
      <c r="B163" s="2">
        <v>336.95</v>
      </c>
      <c r="C163" t="str">
        <f t="shared" si="2"/>
        <v/>
      </c>
      <c r="D163" s="5" t="str" cm="1">
        <f t="array" ref="D163">IF(C163="","",C163/LOOKUP(2,1/($C$1:C162&lt;&gt;""),$C$1:C162)-1)</f>
        <v/>
      </c>
    </row>
    <row r="164" spans="1:4" hidden="1" x14ac:dyDescent="0.25">
      <c r="A164" s="1">
        <v>44397</v>
      </c>
      <c r="B164" s="2">
        <v>341.66</v>
      </c>
      <c r="C164" t="str">
        <f t="shared" si="2"/>
        <v/>
      </c>
      <c r="D164" s="5" t="str" cm="1">
        <f t="array" ref="D164">IF(C164="","",C164/LOOKUP(2,1/($C$1:C163&lt;&gt;""),$C$1:C163)-1)</f>
        <v/>
      </c>
    </row>
    <row r="165" spans="1:4" hidden="1" x14ac:dyDescent="0.25">
      <c r="A165" s="1">
        <v>44398</v>
      </c>
      <c r="B165" s="2">
        <v>346.23</v>
      </c>
      <c r="C165" t="str">
        <f t="shared" si="2"/>
        <v/>
      </c>
      <c r="D165" s="5" t="str" cm="1">
        <f t="array" ref="D165">IF(C165="","",C165/LOOKUP(2,1/($C$1:C164&lt;&gt;""),$C$1:C164)-1)</f>
        <v/>
      </c>
    </row>
    <row r="166" spans="1:4" hidden="1" x14ac:dyDescent="0.25">
      <c r="A166" s="1">
        <v>44399</v>
      </c>
      <c r="B166" s="2">
        <v>351.19</v>
      </c>
      <c r="C166" t="str">
        <f t="shared" si="2"/>
        <v/>
      </c>
      <c r="D166" s="5" t="str" cm="1">
        <f t="array" ref="D166">IF(C166="","",C166/LOOKUP(2,1/($C$1:C165&lt;&gt;""),$C$1:C165)-1)</f>
        <v/>
      </c>
    </row>
    <row r="167" spans="1:4" x14ac:dyDescent="0.25">
      <c r="A167" s="1">
        <v>44400</v>
      </c>
      <c r="B167" s="2">
        <v>369.79</v>
      </c>
      <c r="C167">
        <f t="shared" si="2"/>
        <v>369.79</v>
      </c>
      <c r="D167" cm="1">
        <f t="array" ref="D167">IF(C167="","",C167/LOOKUP(2,1/($C$1:C166&lt;&gt;""),$C$1:C166)-1)</f>
        <v>8.3919568530894662E-2</v>
      </c>
    </row>
    <row r="168" spans="1:4" hidden="1" x14ac:dyDescent="0.25">
      <c r="A168" s="1">
        <v>44403</v>
      </c>
      <c r="B168" s="2">
        <v>372.46</v>
      </c>
      <c r="C168" t="str">
        <f t="shared" si="2"/>
        <v/>
      </c>
      <c r="D168" s="5" t="str" cm="1">
        <f t="array" ref="D168">IF(C168="","",C168/LOOKUP(2,1/($C$1:C167&lt;&gt;""),$C$1:C167)-1)</f>
        <v/>
      </c>
    </row>
    <row r="169" spans="1:4" hidden="1" x14ac:dyDescent="0.25">
      <c r="A169" s="1">
        <v>44404</v>
      </c>
      <c r="B169" s="2">
        <v>367.81</v>
      </c>
      <c r="C169" t="str">
        <f t="shared" si="2"/>
        <v/>
      </c>
      <c r="D169" s="5" t="str" cm="1">
        <f t="array" ref="D169">IF(C169="","",C169/LOOKUP(2,1/($C$1:C168&lt;&gt;""),$C$1:C168)-1)</f>
        <v/>
      </c>
    </row>
    <row r="170" spans="1:4" hidden="1" x14ac:dyDescent="0.25">
      <c r="A170" s="1">
        <v>44405</v>
      </c>
      <c r="B170" s="2">
        <v>373.28</v>
      </c>
      <c r="C170" t="str">
        <f t="shared" si="2"/>
        <v/>
      </c>
      <c r="D170" s="5" t="str" cm="1">
        <f t="array" ref="D170">IF(C170="","",C170/LOOKUP(2,1/($C$1:C169&lt;&gt;""),$C$1:C169)-1)</f>
        <v/>
      </c>
    </row>
    <row r="171" spans="1:4" hidden="1" x14ac:dyDescent="0.25">
      <c r="A171" s="1">
        <v>44406</v>
      </c>
      <c r="B171" s="2">
        <v>358.32</v>
      </c>
      <c r="C171" t="str">
        <f t="shared" si="2"/>
        <v/>
      </c>
      <c r="D171" s="5" t="str" cm="1">
        <f t="array" ref="D171">IF(C171="","",C171/LOOKUP(2,1/($C$1:C170&lt;&gt;""),$C$1:C170)-1)</f>
        <v/>
      </c>
    </row>
    <row r="172" spans="1:4" x14ac:dyDescent="0.25">
      <c r="A172" s="1">
        <v>44407</v>
      </c>
      <c r="B172" s="2">
        <v>356.3</v>
      </c>
      <c r="C172">
        <f t="shared" si="2"/>
        <v>356.3</v>
      </c>
      <c r="D172" cm="1">
        <f t="array" ref="D172">IF(C172="","",C172/LOOKUP(2,1/($C$1:C171&lt;&gt;""),$C$1:C171)-1)</f>
        <v>-3.6480164417642458E-2</v>
      </c>
    </row>
    <row r="173" spans="1:4" hidden="1" x14ac:dyDescent="0.25">
      <c r="A173" s="1">
        <v>44410</v>
      </c>
      <c r="B173" s="2">
        <v>351.95</v>
      </c>
      <c r="C173" t="str">
        <f t="shared" si="2"/>
        <v/>
      </c>
      <c r="D173" s="5" t="str" cm="1">
        <f t="array" ref="D173">IF(C173="","",C173/LOOKUP(2,1/($C$1:C172&lt;&gt;""),$C$1:C172)-1)</f>
        <v/>
      </c>
    </row>
    <row r="174" spans="1:4" hidden="1" x14ac:dyDescent="0.25">
      <c r="A174" s="1">
        <v>44411</v>
      </c>
      <c r="B174" s="2">
        <v>351.24</v>
      </c>
      <c r="C174" t="str">
        <f t="shared" si="2"/>
        <v/>
      </c>
      <c r="D174" s="5" t="str" cm="1">
        <f t="array" ref="D174">IF(C174="","",C174/LOOKUP(2,1/($C$1:C173&lt;&gt;""),$C$1:C173)-1)</f>
        <v/>
      </c>
    </row>
    <row r="175" spans="1:4" hidden="1" x14ac:dyDescent="0.25">
      <c r="A175" s="1">
        <v>44412</v>
      </c>
      <c r="B175" s="2">
        <v>358.92</v>
      </c>
      <c r="C175" t="str">
        <f t="shared" si="2"/>
        <v/>
      </c>
      <c r="D175" s="5" t="str" cm="1">
        <f t="array" ref="D175">IF(C175="","",C175/LOOKUP(2,1/($C$1:C174&lt;&gt;""),$C$1:C174)-1)</f>
        <v/>
      </c>
    </row>
    <row r="176" spans="1:4" hidden="1" x14ac:dyDescent="0.25">
      <c r="A176" s="1">
        <v>44413</v>
      </c>
      <c r="B176" s="2">
        <v>362.97</v>
      </c>
      <c r="C176" t="str">
        <f t="shared" si="2"/>
        <v/>
      </c>
      <c r="D176" s="5" t="str" cm="1">
        <f t="array" ref="D176">IF(C176="","",C176/LOOKUP(2,1/($C$1:C175&lt;&gt;""),$C$1:C175)-1)</f>
        <v/>
      </c>
    </row>
    <row r="177" spans="1:4" x14ac:dyDescent="0.25">
      <c r="A177" s="1">
        <v>44414</v>
      </c>
      <c r="B177" s="2">
        <v>363.51</v>
      </c>
      <c r="C177">
        <f t="shared" si="2"/>
        <v>363.51</v>
      </c>
      <c r="D177" cm="1">
        <f t="array" ref="D177">IF(C177="","",C177/LOOKUP(2,1/($C$1:C176&lt;&gt;""),$C$1:C176)-1)</f>
        <v>2.0235756385068804E-2</v>
      </c>
    </row>
    <row r="178" spans="1:4" hidden="1" x14ac:dyDescent="0.25">
      <c r="A178" s="1">
        <v>44417</v>
      </c>
      <c r="B178" s="2">
        <v>361.61</v>
      </c>
      <c r="C178" t="str">
        <f t="shared" si="2"/>
        <v/>
      </c>
      <c r="D178" s="5" t="str" cm="1">
        <f t="array" ref="D178">IF(C178="","",C178/LOOKUP(2,1/($C$1:C177&lt;&gt;""),$C$1:C177)-1)</f>
        <v/>
      </c>
    </row>
    <row r="179" spans="1:4" hidden="1" x14ac:dyDescent="0.25">
      <c r="A179" s="1">
        <v>44418</v>
      </c>
      <c r="B179" s="2">
        <v>361.13</v>
      </c>
      <c r="C179" t="str">
        <f t="shared" si="2"/>
        <v/>
      </c>
      <c r="D179" s="5" t="str" cm="1">
        <f t="array" ref="D179">IF(C179="","",C179/LOOKUP(2,1/($C$1:C178&lt;&gt;""),$C$1:C178)-1)</f>
        <v/>
      </c>
    </row>
    <row r="180" spans="1:4" hidden="1" x14ac:dyDescent="0.25">
      <c r="A180" s="1">
        <v>44419</v>
      </c>
      <c r="B180" s="2">
        <v>359.96</v>
      </c>
      <c r="C180" t="str">
        <f t="shared" si="2"/>
        <v/>
      </c>
      <c r="D180" s="5" t="str" cm="1">
        <f t="array" ref="D180">IF(C180="","",C180/LOOKUP(2,1/($C$1:C179&lt;&gt;""),$C$1:C179)-1)</f>
        <v/>
      </c>
    </row>
    <row r="181" spans="1:4" hidden="1" x14ac:dyDescent="0.25">
      <c r="A181" s="1">
        <v>44420</v>
      </c>
      <c r="B181" s="2">
        <v>362.65</v>
      </c>
      <c r="C181" t="str">
        <f t="shared" si="2"/>
        <v/>
      </c>
      <c r="D181" s="5" t="str" cm="1">
        <f t="array" ref="D181">IF(C181="","",C181/LOOKUP(2,1/($C$1:C180&lt;&gt;""),$C$1:C180)-1)</f>
        <v/>
      </c>
    </row>
    <row r="182" spans="1:4" x14ac:dyDescent="0.25">
      <c r="A182" s="1">
        <v>44421</v>
      </c>
      <c r="B182" s="2">
        <v>363.18</v>
      </c>
      <c r="C182">
        <f t="shared" si="2"/>
        <v>363.18</v>
      </c>
      <c r="D182" cm="1">
        <f t="array" ref="D182">IF(C182="","",C182/LOOKUP(2,1/($C$1:C181&lt;&gt;""),$C$1:C181)-1)</f>
        <v>-9.0781546587437312E-4</v>
      </c>
    </row>
    <row r="183" spans="1:4" hidden="1" x14ac:dyDescent="0.25">
      <c r="A183" s="1">
        <v>44424</v>
      </c>
      <c r="B183" s="2">
        <v>366.56</v>
      </c>
      <c r="C183" t="str">
        <f t="shared" si="2"/>
        <v/>
      </c>
      <c r="D183" s="5" t="str" cm="1">
        <f t="array" ref="D183">IF(C183="","",C183/LOOKUP(2,1/($C$1:C182&lt;&gt;""),$C$1:C182)-1)</f>
        <v/>
      </c>
    </row>
    <row r="184" spans="1:4" hidden="1" x14ac:dyDescent="0.25">
      <c r="A184" s="1">
        <v>44425</v>
      </c>
      <c r="B184" s="2">
        <v>358.45</v>
      </c>
      <c r="C184" t="str">
        <f t="shared" si="2"/>
        <v/>
      </c>
      <c r="D184" s="5" t="str" cm="1">
        <f t="array" ref="D184">IF(C184="","",C184/LOOKUP(2,1/($C$1:C183&lt;&gt;""),$C$1:C183)-1)</f>
        <v/>
      </c>
    </row>
    <row r="185" spans="1:4" hidden="1" x14ac:dyDescent="0.25">
      <c r="A185" s="1">
        <v>44426</v>
      </c>
      <c r="B185" s="2">
        <v>355.45</v>
      </c>
      <c r="C185" t="str">
        <f t="shared" si="2"/>
        <v/>
      </c>
      <c r="D185" s="5" t="str" cm="1">
        <f t="array" ref="D185">IF(C185="","",C185/LOOKUP(2,1/($C$1:C184&lt;&gt;""),$C$1:C184)-1)</f>
        <v/>
      </c>
    </row>
    <row r="186" spans="1:4" hidden="1" x14ac:dyDescent="0.25">
      <c r="A186" s="1">
        <v>44427</v>
      </c>
      <c r="B186" s="2">
        <v>355.12</v>
      </c>
      <c r="C186" t="str">
        <f t="shared" si="2"/>
        <v/>
      </c>
      <c r="D186" s="5" t="str" cm="1">
        <f t="array" ref="D186">IF(C186="","",C186/LOOKUP(2,1/($C$1:C185&lt;&gt;""),$C$1:C185)-1)</f>
        <v/>
      </c>
    </row>
    <row r="187" spans="1:4" x14ac:dyDescent="0.25">
      <c r="A187" s="1">
        <v>44428</v>
      </c>
      <c r="B187" s="2">
        <v>359.37</v>
      </c>
      <c r="C187">
        <f t="shared" si="2"/>
        <v>359.37</v>
      </c>
      <c r="D187" cm="1">
        <f t="array" ref="D187">IF(C187="","",C187/LOOKUP(2,1/($C$1:C186&lt;&gt;""),$C$1:C186)-1)</f>
        <v>-1.0490665785560904E-2</v>
      </c>
    </row>
    <row r="188" spans="1:4" hidden="1" x14ac:dyDescent="0.25">
      <c r="A188" s="1">
        <v>44431</v>
      </c>
      <c r="B188" s="2">
        <v>363.35</v>
      </c>
      <c r="C188" t="str">
        <f t="shared" si="2"/>
        <v/>
      </c>
      <c r="D188" s="5" t="str" cm="1">
        <f t="array" ref="D188">IF(C188="","",C188/LOOKUP(2,1/($C$1:C187&lt;&gt;""),$C$1:C187)-1)</f>
        <v/>
      </c>
    </row>
    <row r="189" spans="1:4" hidden="1" x14ac:dyDescent="0.25">
      <c r="A189" s="1">
        <v>44432</v>
      </c>
      <c r="B189" s="2">
        <v>365.51</v>
      </c>
      <c r="C189" t="str">
        <f t="shared" si="2"/>
        <v/>
      </c>
      <c r="D189" s="5" t="str" cm="1">
        <f t="array" ref="D189">IF(C189="","",C189/LOOKUP(2,1/($C$1:C188&lt;&gt;""),$C$1:C188)-1)</f>
        <v/>
      </c>
    </row>
    <row r="190" spans="1:4" hidden="1" x14ac:dyDescent="0.25">
      <c r="A190" s="1">
        <v>44433</v>
      </c>
      <c r="B190" s="2">
        <v>368.39</v>
      </c>
      <c r="C190" t="str">
        <f t="shared" si="2"/>
        <v/>
      </c>
      <c r="D190" s="5" t="str" cm="1">
        <f t="array" ref="D190">IF(C190="","",C190/LOOKUP(2,1/($C$1:C189&lt;&gt;""),$C$1:C189)-1)</f>
        <v/>
      </c>
    </row>
    <row r="191" spans="1:4" hidden="1" x14ac:dyDescent="0.25">
      <c r="A191" s="1">
        <v>44434</v>
      </c>
      <c r="B191" s="2">
        <v>364.38</v>
      </c>
      <c r="C191" t="str">
        <f t="shared" si="2"/>
        <v/>
      </c>
      <c r="D191" s="5" t="str" cm="1">
        <f t="array" ref="D191">IF(C191="","",C191/LOOKUP(2,1/($C$1:C190&lt;&gt;""),$C$1:C190)-1)</f>
        <v/>
      </c>
    </row>
    <row r="192" spans="1:4" x14ac:dyDescent="0.25">
      <c r="A192" s="1">
        <v>44435</v>
      </c>
      <c r="B192" s="2">
        <v>372.63</v>
      </c>
      <c r="C192">
        <f t="shared" si="2"/>
        <v>372.63</v>
      </c>
      <c r="D192" cm="1">
        <f t="array" ref="D192">IF(C192="","",C192/LOOKUP(2,1/($C$1:C191&lt;&gt;""),$C$1:C191)-1)</f>
        <v>3.689790466649967E-2</v>
      </c>
    </row>
    <row r="193" spans="1:4" hidden="1" x14ac:dyDescent="0.25">
      <c r="A193" s="1">
        <v>44438</v>
      </c>
      <c r="B193" s="2">
        <v>380.66</v>
      </c>
      <c r="C193" t="str">
        <f t="shared" si="2"/>
        <v/>
      </c>
      <c r="D193" s="5" t="str" cm="1">
        <f t="array" ref="D193">IF(C193="","",C193/LOOKUP(2,1/($C$1:C192&lt;&gt;""),$C$1:C192)-1)</f>
        <v/>
      </c>
    </row>
    <row r="194" spans="1:4" hidden="1" x14ac:dyDescent="0.25">
      <c r="A194" s="1">
        <v>44439</v>
      </c>
      <c r="B194" s="2">
        <v>379.38</v>
      </c>
      <c r="C194" t="str">
        <f t="shared" si="2"/>
        <v/>
      </c>
      <c r="D194" s="5" t="str" cm="1">
        <f t="array" ref="D194">IF(C194="","",C194/LOOKUP(2,1/($C$1:C193&lt;&gt;""),$C$1:C193)-1)</f>
        <v/>
      </c>
    </row>
    <row r="195" spans="1:4" hidden="1" x14ac:dyDescent="0.25">
      <c r="A195" s="1">
        <v>44440</v>
      </c>
      <c r="B195" s="2">
        <v>382.05</v>
      </c>
      <c r="C195" t="str">
        <f t="shared" ref="C195:C258" si="3">IF(WEEKNUM(A195)&lt;&gt;WEEKNUM(A196),B195,"")</f>
        <v/>
      </c>
      <c r="D195" s="5" t="str" cm="1">
        <f t="array" ref="D195">IF(C195="","",C195/LOOKUP(2,1/($C$1:C194&lt;&gt;""),$C$1:C194)-1)</f>
        <v/>
      </c>
    </row>
    <row r="196" spans="1:4" hidden="1" x14ac:dyDescent="0.25">
      <c r="A196" s="1">
        <v>44441</v>
      </c>
      <c r="B196" s="2">
        <v>375.28</v>
      </c>
      <c r="C196" t="str">
        <f t="shared" si="3"/>
        <v/>
      </c>
      <c r="D196" s="5" t="str" cm="1">
        <f t="array" ref="D196">IF(C196="","",C196/LOOKUP(2,1/($C$1:C195&lt;&gt;""),$C$1:C195)-1)</f>
        <v/>
      </c>
    </row>
    <row r="197" spans="1:4" x14ac:dyDescent="0.25">
      <c r="A197" s="1">
        <v>44442</v>
      </c>
      <c r="B197" s="2">
        <v>376.26</v>
      </c>
      <c r="C197">
        <f t="shared" si="3"/>
        <v>376.26</v>
      </c>
      <c r="D197" cm="1">
        <f t="array" ref="D197">IF(C197="","",C197/LOOKUP(2,1/($C$1:C196&lt;&gt;""),$C$1:C196)-1)</f>
        <v>9.7415667015539054E-3</v>
      </c>
    </row>
    <row r="198" spans="1:4" hidden="1" x14ac:dyDescent="0.25">
      <c r="A198" s="1">
        <v>44446</v>
      </c>
      <c r="B198" s="2">
        <v>382.18</v>
      </c>
      <c r="C198" t="str">
        <f t="shared" si="3"/>
        <v/>
      </c>
      <c r="D198" s="5" t="str" cm="1">
        <f t="array" ref="D198">IF(C198="","",C198/LOOKUP(2,1/($C$1:C197&lt;&gt;""),$C$1:C197)-1)</f>
        <v/>
      </c>
    </row>
    <row r="199" spans="1:4" hidden="1" x14ac:dyDescent="0.25">
      <c r="A199" s="1">
        <v>44447</v>
      </c>
      <c r="B199" s="2">
        <v>377.57</v>
      </c>
      <c r="C199" t="str">
        <f t="shared" si="3"/>
        <v/>
      </c>
      <c r="D199" s="5" t="str" cm="1">
        <f t="array" ref="D199">IF(C199="","",C199/LOOKUP(2,1/($C$1:C198&lt;&gt;""),$C$1:C198)-1)</f>
        <v/>
      </c>
    </row>
    <row r="200" spans="1:4" hidden="1" x14ac:dyDescent="0.25">
      <c r="A200" s="1">
        <v>44448</v>
      </c>
      <c r="B200" s="2">
        <v>378</v>
      </c>
      <c r="C200" t="str">
        <f t="shared" si="3"/>
        <v/>
      </c>
      <c r="D200" s="5" t="str" cm="1">
        <f t="array" ref="D200">IF(C200="","",C200/LOOKUP(2,1/($C$1:C199&lt;&gt;""),$C$1:C199)-1)</f>
        <v/>
      </c>
    </row>
    <row r="201" spans="1:4" x14ac:dyDescent="0.25">
      <c r="A201" s="1">
        <v>44449</v>
      </c>
      <c r="B201" s="2">
        <v>378.69</v>
      </c>
      <c r="C201">
        <f t="shared" si="3"/>
        <v>378.69</v>
      </c>
      <c r="D201" cm="1">
        <f t="array" ref="D201">IF(C201="","",C201/LOOKUP(2,1/($C$1:C200&lt;&gt;""),$C$1:C200)-1)</f>
        <v>6.4583001116249594E-3</v>
      </c>
    </row>
    <row r="202" spans="1:4" hidden="1" x14ac:dyDescent="0.25">
      <c r="A202" s="1">
        <v>44452</v>
      </c>
      <c r="B202" s="2">
        <v>376.51</v>
      </c>
      <c r="C202" t="str">
        <f t="shared" si="3"/>
        <v/>
      </c>
      <c r="D202" s="5" t="str" cm="1">
        <f t="array" ref="D202">IF(C202="","",C202/LOOKUP(2,1/($C$1:C201&lt;&gt;""),$C$1:C201)-1)</f>
        <v/>
      </c>
    </row>
    <row r="203" spans="1:4" hidden="1" x14ac:dyDescent="0.25">
      <c r="A203" s="1">
        <v>44453</v>
      </c>
      <c r="B203" s="2">
        <v>376.53</v>
      </c>
      <c r="C203" t="str">
        <f t="shared" si="3"/>
        <v/>
      </c>
      <c r="D203" s="5" t="str" cm="1">
        <f t="array" ref="D203">IF(C203="","",C203/LOOKUP(2,1/($C$1:C202&lt;&gt;""),$C$1:C202)-1)</f>
        <v/>
      </c>
    </row>
    <row r="204" spans="1:4" hidden="1" x14ac:dyDescent="0.25">
      <c r="A204" s="1">
        <v>44454</v>
      </c>
      <c r="B204" s="2">
        <v>373.92</v>
      </c>
      <c r="C204" t="str">
        <f t="shared" si="3"/>
        <v/>
      </c>
      <c r="D204" s="5" t="str" cm="1">
        <f t="array" ref="D204">IF(C204="","",C204/LOOKUP(2,1/($C$1:C203&lt;&gt;""),$C$1:C203)-1)</f>
        <v/>
      </c>
    </row>
    <row r="205" spans="1:4" hidden="1" x14ac:dyDescent="0.25">
      <c r="A205" s="1">
        <v>44455</v>
      </c>
      <c r="B205" s="2">
        <v>373.06</v>
      </c>
      <c r="C205" t="str">
        <f t="shared" si="3"/>
        <v/>
      </c>
      <c r="D205" s="5" t="str" cm="1">
        <f t="array" ref="D205">IF(C205="","",C205/LOOKUP(2,1/($C$1:C204&lt;&gt;""),$C$1:C204)-1)</f>
        <v/>
      </c>
    </row>
    <row r="206" spans="1:4" x14ac:dyDescent="0.25">
      <c r="A206" s="1">
        <v>44456</v>
      </c>
      <c r="B206" s="2">
        <v>364.72</v>
      </c>
      <c r="C206">
        <f t="shared" si="3"/>
        <v>364.72</v>
      </c>
      <c r="D206" cm="1">
        <f t="array" ref="D206">IF(C206="","",C206/LOOKUP(2,1/($C$1:C205&lt;&gt;""),$C$1:C205)-1)</f>
        <v>-3.6890332461908093E-2</v>
      </c>
    </row>
    <row r="207" spans="1:4" hidden="1" x14ac:dyDescent="0.25">
      <c r="A207" s="1">
        <v>44459</v>
      </c>
      <c r="B207" s="2">
        <v>355.7</v>
      </c>
      <c r="C207" t="str">
        <f t="shared" si="3"/>
        <v/>
      </c>
      <c r="D207" s="5" t="str" cm="1">
        <f t="array" ref="D207">IF(C207="","",C207/LOOKUP(2,1/($C$1:C206&lt;&gt;""),$C$1:C206)-1)</f>
        <v/>
      </c>
    </row>
    <row r="208" spans="1:4" hidden="1" x14ac:dyDescent="0.25">
      <c r="A208" s="1">
        <v>44460</v>
      </c>
      <c r="B208" s="2">
        <v>357.48</v>
      </c>
      <c r="C208" t="str">
        <f t="shared" si="3"/>
        <v/>
      </c>
      <c r="D208" s="5" t="str" cm="1">
        <f t="array" ref="D208">IF(C208="","",C208/LOOKUP(2,1/($C$1:C207&lt;&gt;""),$C$1:C207)-1)</f>
        <v/>
      </c>
    </row>
    <row r="209" spans="1:4" hidden="1" x14ac:dyDescent="0.25">
      <c r="A209" s="1">
        <v>44461</v>
      </c>
      <c r="B209" s="2">
        <v>343.21</v>
      </c>
      <c r="C209" t="str">
        <f t="shared" si="3"/>
        <v/>
      </c>
      <c r="D209" s="5" t="str" cm="1">
        <f t="array" ref="D209">IF(C209="","",C209/LOOKUP(2,1/($C$1:C208&lt;&gt;""),$C$1:C208)-1)</f>
        <v/>
      </c>
    </row>
    <row r="210" spans="1:4" hidden="1" x14ac:dyDescent="0.25">
      <c r="A210" s="1">
        <v>44462</v>
      </c>
      <c r="B210" s="2">
        <v>345.96</v>
      </c>
      <c r="C210" t="str">
        <f t="shared" si="3"/>
        <v/>
      </c>
      <c r="D210" s="5" t="str" cm="1">
        <f t="array" ref="D210">IF(C210="","",C210/LOOKUP(2,1/($C$1:C209&lt;&gt;""),$C$1:C209)-1)</f>
        <v/>
      </c>
    </row>
    <row r="211" spans="1:4" x14ac:dyDescent="0.25">
      <c r="A211" s="1">
        <v>44463</v>
      </c>
      <c r="B211" s="2">
        <v>352.96</v>
      </c>
      <c r="C211">
        <f t="shared" si="3"/>
        <v>352.96</v>
      </c>
      <c r="D211" cm="1">
        <f t="array" ref="D211">IF(C211="","",C211/LOOKUP(2,1/($C$1:C210&lt;&gt;""),$C$1:C210)-1)</f>
        <v>-3.2243913138846336E-2</v>
      </c>
    </row>
    <row r="212" spans="1:4" hidden="1" x14ac:dyDescent="0.25">
      <c r="A212" s="1">
        <v>44466</v>
      </c>
      <c r="B212" s="2">
        <v>353.58</v>
      </c>
      <c r="C212" t="str">
        <f t="shared" si="3"/>
        <v/>
      </c>
      <c r="D212" s="5" t="str" cm="1">
        <f t="array" ref="D212">IF(C212="","",C212/LOOKUP(2,1/($C$1:C211&lt;&gt;""),$C$1:C211)-1)</f>
        <v/>
      </c>
    </row>
    <row r="213" spans="1:4" hidden="1" x14ac:dyDescent="0.25">
      <c r="A213" s="1">
        <v>44467</v>
      </c>
      <c r="B213" s="2">
        <v>340.65</v>
      </c>
      <c r="C213" t="str">
        <f t="shared" si="3"/>
        <v/>
      </c>
      <c r="D213" s="5" t="str" cm="1">
        <f t="array" ref="D213">IF(C213="","",C213/LOOKUP(2,1/($C$1:C212&lt;&gt;""),$C$1:C212)-1)</f>
        <v/>
      </c>
    </row>
    <row r="214" spans="1:4" hidden="1" x14ac:dyDescent="0.25">
      <c r="A214" s="1">
        <v>44468</v>
      </c>
      <c r="B214" s="2">
        <v>339.61</v>
      </c>
      <c r="C214" t="str">
        <f t="shared" si="3"/>
        <v/>
      </c>
      <c r="D214" s="5" t="str" cm="1">
        <f t="array" ref="D214">IF(C214="","",C214/LOOKUP(2,1/($C$1:C213&lt;&gt;""),$C$1:C213)-1)</f>
        <v/>
      </c>
    </row>
    <row r="215" spans="1:4" hidden="1" x14ac:dyDescent="0.25">
      <c r="A215" s="1">
        <v>44469</v>
      </c>
      <c r="B215" s="2">
        <v>339.39</v>
      </c>
      <c r="C215" t="str">
        <f t="shared" si="3"/>
        <v/>
      </c>
      <c r="D215" s="5" t="str" cm="1">
        <f t="array" ref="D215">IF(C215="","",C215/LOOKUP(2,1/($C$1:C214&lt;&gt;""),$C$1:C214)-1)</f>
        <v/>
      </c>
    </row>
    <row r="216" spans="1:4" x14ac:dyDescent="0.25">
      <c r="A216" s="1">
        <v>44470</v>
      </c>
      <c r="B216" s="2">
        <v>343.01</v>
      </c>
      <c r="C216">
        <f t="shared" si="3"/>
        <v>343.01</v>
      </c>
      <c r="D216" cm="1">
        <f t="array" ref="D216">IF(C216="","",C216/LOOKUP(2,1/($C$1:C215&lt;&gt;""),$C$1:C215)-1)</f>
        <v>-2.8190163191296413E-2</v>
      </c>
    </row>
    <row r="217" spans="1:4" hidden="1" x14ac:dyDescent="0.25">
      <c r="A217" s="1">
        <v>44473</v>
      </c>
      <c r="B217" s="2">
        <v>326.23</v>
      </c>
      <c r="C217" t="str">
        <f t="shared" si="3"/>
        <v/>
      </c>
      <c r="D217" s="5" t="str" cm="1">
        <f t="array" ref="D217">IF(C217="","",C217/LOOKUP(2,1/($C$1:C216&lt;&gt;""),$C$1:C216)-1)</f>
        <v/>
      </c>
    </row>
    <row r="218" spans="1:4" hidden="1" x14ac:dyDescent="0.25">
      <c r="A218" s="1">
        <v>44474</v>
      </c>
      <c r="B218" s="2">
        <v>332.96</v>
      </c>
      <c r="C218" t="str">
        <f t="shared" si="3"/>
        <v/>
      </c>
      <c r="D218" s="5" t="str" cm="1">
        <f t="array" ref="D218">IF(C218="","",C218/LOOKUP(2,1/($C$1:C217&lt;&gt;""),$C$1:C217)-1)</f>
        <v/>
      </c>
    </row>
    <row r="219" spans="1:4" hidden="1" x14ac:dyDescent="0.25">
      <c r="A219" s="1">
        <v>44475</v>
      </c>
      <c r="B219" s="2">
        <v>333.64</v>
      </c>
      <c r="C219" t="str">
        <f t="shared" si="3"/>
        <v/>
      </c>
      <c r="D219" s="5" t="str" cm="1">
        <f t="array" ref="D219">IF(C219="","",C219/LOOKUP(2,1/($C$1:C218&lt;&gt;""),$C$1:C218)-1)</f>
        <v/>
      </c>
    </row>
    <row r="220" spans="1:4" hidden="1" x14ac:dyDescent="0.25">
      <c r="A220" s="1">
        <v>44476</v>
      </c>
      <c r="B220" s="2">
        <v>329.22</v>
      </c>
      <c r="C220" t="str">
        <f t="shared" si="3"/>
        <v/>
      </c>
      <c r="D220" s="5" t="str" cm="1">
        <f t="array" ref="D220">IF(C220="","",C220/LOOKUP(2,1/($C$1:C219&lt;&gt;""),$C$1:C219)-1)</f>
        <v/>
      </c>
    </row>
    <row r="221" spans="1:4" x14ac:dyDescent="0.25">
      <c r="A221" s="1">
        <v>44477</v>
      </c>
      <c r="B221" s="2">
        <v>330.05</v>
      </c>
      <c r="C221">
        <f t="shared" si="3"/>
        <v>330.05</v>
      </c>
      <c r="D221" cm="1">
        <f t="array" ref="D221">IF(C221="","",C221/LOOKUP(2,1/($C$1:C220&lt;&gt;""),$C$1:C220)-1)</f>
        <v>-3.7783155010057912E-2</v>
      </c>
    </row>
    <row r="222" spans="1:4" hidden="1" x14ac:dyDescent="0.25">
      <c r="A222" s="1">
        <v>44480</v>
      </c>
      <c r="B222" s="2">
        <v>325.45</v>
      </c>
      <c r="C222" t="str">
        <f t="shared" si="3"/>
        <v/>
      </c>
      <c r="D222" s="5" t="str" cm="1">
        <f t="array" ref="D222">IF(C222="","",C222/LOOKUP(2,1/($C$1:C221&lt;&gt;""),$C$1:C221)-1)</f>
        <v/>
      </c>
    </row>
    <row r="223" spans="1:4" hidden="1" x14ac:dyDescent="0.25">
      <c r="A223" s="1">
        <v>44481</v>
      </c>
      <c r="B223" s="2">
        <v>323.77</v>
      </c>
      <c r="C223" t="str">
        <f t="shared" si="3"/>
        <v/>
      </c>
      <c r="D223" s="5" t="str" cm="1">
        <f t="array" ref="D223">IF(C223="","",C223/LOOKUP(2,1/($C$1:C222&lt;&gt;""),$C$1:C222)-1)</f>
        <v/>
      </c>
    </row>
    <row r="224" spans="1:4" hidden="1" x14ac:dyDescent="0.25">
      <c r="A224" s="1">
        <v>44482</v>
      </c>
      <c r="B224" s="2">
        <v>324.54000000000002</v>
      </c>
      <c r="C224" t="str">
        <f t="shared" si="3"/>
        <v/>
      </c>
      <c r="D224" s="5" t="str" cm="1">
        <f t="array" ref="D224">IF(C224="","",C224/LOOKUP(2,1/($C$1:C223&lt;&gt;""),$C$1:C223)-1)</f>
        <v/>
      </c>
    </row>
    <row r="225" spans="1:4" hidden="1" x14ac:dyDescent="0.25">
      <c r="A225" s="1">
        <v>44483</v>
      </c>
      <c r="B225" s="2">
        <v>328.53</v>
      </c>
      <c r="C225" t="str">
        <f t="shared" si="3"/>
        <v/>
      </c>
      <c r="D225" s="5" t="str" cm="1">
        <f t="array" ref="D225">IF(C225="","",C225/LOOKUP(2,1/($C$1:C224&lt;&gt;""),$C$1:C224)-1)</f>
        <v/>
      </c>
    </row>
    <row r="226" spans="1:4" x14ac:dyDescent="0.25">
      <c r="A226" s="1">
        <v>44484</v>
      </c>
      <c r="B226" s="2">
        <v>324.76</v>
      </c>
      <c r="C226">
        <f t="shared" si="3"/>
        <v>324.76</v>
      </c>
      <c r="D226" cm="1">
        <f t="array" ref="D226">IF(C226="","",C226/LOOKUP(2,1/($C$1:C225&lt;&gt;""),$C$1:C225)-1)</f>
        <v>-1.6027874564459976E-2</v>
      </c>
    </row>
    <row r="227" spans="1:4" hidden="1" x14ac:dyDescent="0.25">
      <c r="A227" s="1">
        <v>44487</v>
      </c>
      <c r="B227" s="2">
        <v>335.34</v>
      </c>
      <c r="C227" t="str">
        <f t="shared" si="3"/>
        <v/>
      </c>
      <c r="D227" s="5" t="str" cm="1">
        <f t="array" ref="D227">IF(C227="","",C227/LOOKUP(2,1/($C$1:C226&lt;&gt;""),$C$1:C226)-1)</f>
        <v/>
      </c>
    </row>
    <row r="228" spans="1:4" hidden="1" x14ac:dyDescent="0.25">
      <c r="A228" s="1">
        <v>44488</v>
      </c>
      <c r="B228" s="2">
        <v>339.99</v>
      </c>
      <c r="C228" t="str">
        <f t="shared" si="3"/>
        <v/>
      </c>
      <c r="D228" s="5" t="str" cm="1">
        <f t="array" ref="D228">IF(C228="","",C228/LOOKUP(2,1/($C$1:C227&lt;&gt;""),$C$1:C227)-1)</f>
        <v/>
      </c>
    </row>
    <row r="229" spans="1:4" hidden="1" x14ac:dyDescent="0.25">
      <c r="A229" s="1">
        <v>44489</v>
      </c>
      <c r="B229" s="2">
        <v>340.78</v>
      </c>
      <c r="C229" t="str">
        <f t="shared" si="3"/>
        <v/>
      </c>
      <c r="D229" s="5" t="str" cm="1">
        <f t="array" ref="D229">IF(C229="","",C229/LOOKUP(2,1/($C$1:C228&lt;&gt;""),$C$1:C228)-1)</f>
        <v/>
      </c>
    </row>
    <row r="230" spans="1:4" hidden="1" x14ac:dyDescent="0.25">
      <c r="A230" s="1">
        <v>44490</v>
      </c>
      <c r="B230" s="2">
        <v>341.88</v>
      </c>
      <c r="C230" t="str">
        <f t="shared" si="3"/>
        <v/>
      </c>
      <c r="D230" s="5" t="str" cm="1">
        <f t="array" ref="D230">IF(C230="","",C230/LOOKUP(2,1/($C$1:C229&lt;&gt;""),$C$1:C229)-1)</f>
        <v/>
      </c>
    </row>
    <row r="231" spans="1:4" x14ac:dyDescent="0.25">
      <c r="A231" s="1">
        <v>44491</v>
      </c>
      <c r="B231" s="2">
        <v>324.61</v>
      </c>
      <c r="C231">
        <f t="shared" si="3"/>
        <v>324.61</v>
      </c>
      <c r="D231" cm="1">
        <f t="array" ref="D231">IF(C231="","",C231/LOOKUP(2,1/($C$1:C230&lt;&gt;""),$C$1:C230)-1)</f>
        <v>-4.6187954181542423E-4</v>
      </c>
    </row>
    <row r="232" spans="1:4" hidden="1" x14ac:dyDescent="0.25">
      <c r="A232" s="1">
        <v>44494</v>
      </c>
      <c r="B232" s="2">
        <v>328.69</v>
      </c>
      <c r="C232" t="str">
        <f t="shared" si="3"/>
        <v/>
      </c>
      <c r="D232" s="5" t="str" cm="1">
        <f t="array" ref="D232">IF(C232="","",C232/LOOKUP(2,1/($C$1:C231&lt;&gt;""),$C$1:C231)-1)</f>
        <v/>
      </c>
    </row>
    <row r="233" spans="1:4" hidden="1" x14ac:dyDescent="0.25">
      <c r="A233" s="1">
        <v>44495</v>
      </c>
      <c r="B233" s="2">
        <v>315.81</v>
      </c>
      <c r="C233" t="str">
        <f t="shared" si="3"/>
        <v/>
      </c>
      <c r="D233" s="5" t="str" cm="1">
        <f t="array" ref="D233">IF(C233="","",C233/LOOKUP(2,1/($C$1:C232&lt;&gt;""),$C$1:C232)-1)</f>
        <v/>
      </c>
    </row>
    <row r="234" spans="1:4" hidden="1" x14ac:dyDescent="0.25">
      <c r="A234" s="1">
        <v>44496</v>
      </c>
      <c r="B234" s="2">
        <v>312.22000000000003</v>
      </c>
      <c r="C234" t="str">
        <f t="shared" si="3"/>
        <v/>
      </c>
      <c r="D234" s="5" t="str" cm="1">
        <f t="array" ref="D234">IF(C234="","",C234/LOOKUP(2,1/($C$1:C233&lt;&gt;""),$C$1:C233)-1)</f>
        <v/>
      </c>
    </row>
    <row r="235" spans="1:4" hidden="1" x14ac:dyDescent="0.25">
      <c r="A235" s="1">
        <v>44497</v>
      </c>
      <c r="B235" s="2">
        <v>316.92</v>
      </c>
      <c r="C235" t="str">
        <f t="shared" si="3"/>
        <v/>
      </c>
      <c r="D235" s="5" t="str" cm="1">
        <f t="array" ref="D235">IF(C235="","",C235/LOOKUP(2,1/($C$1:C234&lt;&gt;""),$C$1:C234)-1)</f>
        <v/>
      </c>
    </row>
    <row r="236" spans="1:4" x14ac:dyDescent="0.25">
      <c r="A236" s="1">
        <v>44498</v>
      </c>
      <c r="B236" s="2">
        <v>323.57</v>
      </c>
      <c r="C236">
        <f t="shared" si="3"/>
        <v>323.57</v>
      </c>
      <c r="D236" cm="1">
        <f t="array" ref="D236">IF(C236="","",C236/LOOKUP(2,1/($C$1:C235&lt;&gt;""),$C$1:C235)-1)</f>
        <v>-3.2038446135362886E-3</v>
      </c>
    </row>
    <row r="237" spans="1:4" hidden="1" x14ac:dyDescent="0.25">
      <c r="A237" s="1">
        <v>44501</v>
      </c>
      <c r="B237" s="2">
        <v>329.98</v>
      </c>
      <c r="C237" t="str">
        <f t="shared" si="3"/>
        <v/>
      </c>
      <c r="D237" s="5" t="str" cm="1">
        <f t="array" ref="D237">IF(C237="","",C237/LOOKUP(2,1/($C$1:C236&lt;&gt;""),$C$1:C236)-1)</f>
        <v/>
      </c>
    </row>
    <row r="238" spans="1:4" hidden="1" x14ac:dyDescent="0.25">
      <c r="A238" s="1">
        <v>44502</v>
      </c>
      <c r="B238" s="2">
        <v>328.08</v>
      </c>
      <c r="C238" t="str">
        <f t="shared" si="3"/>
        <v/>
      </c>
      <c r="D238" s="5" t="str" cm="1">
        <f t="array" ref="D238">IF(C238="","",C238/LOOKUP(2,1/($C$1:C237&lt;&gt;""),$C$1:C237)-1)</f>
        <v/>
      </c>
    </row>
    <row r="239" spans="1:4" hidden="1" x14ac:dyDescent="0.25">
      <c r="A239" s="1">
        <v>44503</v>
      </c>
      <c r="B239" s="2">
        <v>331.62</v>
      </c>
      <c r="C239" t="str">
        <f t="shared" si="3"/>
        <v/>
      </c>
      <c r="D239" s="5" t="str" cm="1">
        <f t="array" ref="D239">IF(C239="","",C239/LOOKUP(2,1/($C$1:C238&lt;&gt;""),$C$1:C238)-1)</f>
        <v/>
      </c>
    </row>
    <row r="240" spans="1:4" hidden="1" x14ac:dyDescent="0.25">
      <c r="A240" s="1">
        <v>44504</v>
      </c>
      <c r="B240" s="2">
        <v>335.85</v>
      </c>
      <c r="C240" t="str">
        <f t="shared" si="3"/>
        <v/>
      </c>
      <c r="D240" s="5" t="str" cm="1">
        <f t="array" ref="D240">IF(C240="","",C240/LOOKUP(2,1/($C$1:C239&lt;&gt;""),$C$1:C239)-1)</f>
        <v/>
      </c>
    </row>
    <row r="241" spans="1:4" x14ac:dyDescent="0.25">
      <c r="A241" s="1">
        <v>44505</v>
      </c>
      <c r="B241" s="2">
        <v>341.13</v>
      </c>
      <c r="C241">
        <f t="shared" si="3"/>
        <v>341.13</v>
      </c>
      <c r="D241" cm="1">
        <f t="array" ref="D241">IF(C241="","",C241/LOOKUP(2,1/($C$1:C240&lt;&gt;""),$C$1:C240)-1)</f>
        <v>5.4269555273974701E-2</v>
      </c>
    </row>
    <row r="242" spans="1:4" hidden="1" x14ac:dyDescent="0.25">
      <c r="A242" s="1">
        <v>44508</v>
      </c>
      <c r="B242" s="2">
        <v>338.62</v>
      </c>
      <c r="C242" t="str">
        <f t="shared" si="3"/>
        <v/>
      </c>
      <c r="D242" s="5" t="str" cm="1">
        <f t="array" ref="D242">IF(C242="","",C242/LOOKUP(2,1/($C$1:C241&lt;&gt;""),$C$1:C241)-1)</f>
        <v/>
      </c>
    </row>
    <row r="243" spans="1:4" hidden="1" x14ac:dyDescent="0.25">
      <c r="A243" s="1">
        <v>44509</v>
      </c>
      <c r="B243" s="2">
        <v>335.37</v>
      </c>
      <c r="C243" t="str">
        <f t="shared" si="3"/>
        <v/>
      </c>
      <c r="D243" s="5" t="str" cm="1">
        <f t="array" ref="D243">IF(C243="","",C243/LOOKUP(2,1/($C$1:C242&lt;&gt;""),$C$1:C242)-1)</f>
        <v/>
      </c>
    </row>
    <row r="244" spans="1:4" hidden="1" x14ac:dyDescent="0.25">
      <c r="A244" s="1">
        <v>44510</v>
      </c>
      <c r="B244" s="2">
        <v>327.64</v>
      </c>
      <c r="C244" t="str">
        <f t="shared" si="3"/>
        <v/>
      </c>
      <c r="D244" s="5" t="str" cm="1">
        <f t="array" ref="D244">IF(C244="","",C244/LOOKUP(2,1/($C$1:C243&lt;&gt;""),$C$1:C243)-1)</f>
        <v/>
      </c>
    </row>
    <row r="245" spans="1:4" hidden="1" x14ac:dyDescent="0.25">
      <c r="A245" s="1">
        <v>44511</v>
      </c>
      <c r="B245" s="2">
        <v>327.74</v>
      </c>
      <c r="C245" t="str">
        <f t="shared" si="3"/>
        <v/>
      </c>
      <c r="D245" s="5" t="str" cm="1">
        <f t="array" ref="D245">IF(C245="","",C245/LOOKUP(2,1/($C$1:C244&lt;&gt;""),$C$1:C244)-1)</f>
        <v/>
      </c>
    </row>
    <row r="246" spans="1:4" x14ac:dyDescent="0.25">
      <c r="A246" s="1">
        <v>44512</v>
      </c>
      <c r="B246" s="2">
        <v>340.89</v>
      </c>
      <c r="C246">
        <f t="shared" si="3"/>
        <v>340.89</v>
      </c>
      <c r="D246" cm="1">
        <f t="array" ref="D246">IF(C246="","",C246/LOOKUP(2,1/($C$1:C245&lt;&gt;""),$C$1:C245)-1)</f>
        <v>-7.0354410342099438E-4</v>
      </c>
    </row>
    <row r="247" spans="1:4" hidden="1" x14ac:dyDescent="0.25">
      <c r="A247" s="1">
        <v>44515</v>
      </c>
      <c r="B247" s="2">
        <v>347.56</v>
      </c>
      <c r="C247" t="str">
        <f t="shared" si="3"/>
        <v/>
      </c>
      <c r="D247" s="5" t="str" cm="1">
        <f t="array" ref="D247">IF(C247="","",C247/LOOKUP(2,1/($C$1:C246&lt;&gt;""),$C$1:C246)-1)</f>
        <v/>
      </c>
    </row>
    <row r="248" spans="1:4" hidden="1" x14ac:dyDescent="0.25">
      <c r="A248" s="1">
        <v>44516</v>
      </c>
      <c r="B248" s="2">
        <v>342.96</v>
      </c>
      <c r="C248" t="str">
        <f t="shared" si="3"/>
        <v/>
      </c>
      <c r="D248" s="5" t="str" cm="1">
        <f t="array" ref="D248">IF(C248="","",C248/LOOKUP(2,1/($C$1:C247&lt;&gt;""),$C$1:C247)-1)</f>
        <v/>
      </c>
    </row>
    <row r="249" spans="1:4" hidden="1" x14ac:dyDescent="0.25">
      <c r="A249" s="1">
        <v>44517</v>
      </c>
      <c r="B249" s="2">
        <v>340.77</v>
      </c>
      <c r="C249" t="str">
        <f t="shared" si="3"/>
        <v/>
      </c>
      <c r="D249" s="5" t="str" cm="1">
        <f t="array" ref="D249">IF(C249="","",C249/LOOKUP(2,1/($C$1:C248&lt;&gt;""),$C$1:C248)-1)</f>
        <v/>
      </c>
    </row>
    <row r="250" spans="1:4" hidden="1" x14ac:dyDescent="0.25">
      <c r="A250" s="1">
        <v>44518</v>
      </c>
      <c r="B250" s="2">
        <v>338.69</v>
      </c>
      <c r="C250" t="str">
        <f t="shared" si="3"/>
        <v/>
      </c>
      <c r="D250" s="5" t="str" cm="1">
        <f t="array" ref="D250">IF(C250="","",C250/LOOKUP(2,1/($C$1:C249&lt;&gt;""),$C$1:C249)-1)</f>
        <v/>
      </c>
    </row>
    <row r="251" spans="1:4" x14ac:dyDescent="0.25">
      <c r="A251" s="1">
        <v>44519</v>
      </c>
      <c r="B251" s="2">
        <v>345.3</v>
      </c>
      <c r="C251">
        <f t="shared" si="3"/>
        <v>345.3</v>
      </c>
      <c r="D251" cm="1">
        <f t="array" ref="D251">IF(C251="","",C251/LOOKUP(2,1/($C$1:C250&lt;&gt;""),$C$1:C250)-1)</f>
        <v>1.2936724456569682E-2</v>
      </c>
    </row>
    <row r="252" spans="1:4" hidden="1" x14ac:dyDescent="0.25">
      <c r="A252" s="1">
        <v>44522</v>
      </c>
      <c r="B252" s="2">
        <v>341.01</v>
      </c>
      <c r="C252" t="str">
        <f t="shared" si="3"/>
        <v/>
      </c>
      <c r="D252" s="5" t="str" cm="1">
        <f t="array" ref="D252">IF(C252="","",C252/LOOKUP(2,1/($C$1:C251&lt;&gt;""),$C$1:C251)-1)</f>
        <v/>
      </c>
    </row>
    <row r="253" spans="1:4" hidden="1" x14ac:dyDescent="0.25">
      <c r="A253" s="1">
        <v>44523</v>
      </c>
      <c r="B253" s="2">
        <v>337.25</v>
      </c>
      <c r="C253" t="str">
        <f t="shared" si="3"/>
        <v/>
      </c>
      <c r="D253" s="5" t="str" cm="1">
        <f t="array" ref="D253">IF(C253="","",C253/LOOKUP(2,1/($C$1:C252&lt;&gt;""),$C$1:C252)-1)</f>
        <v/>
      </c>
    </row>
    <row r="254" spans="1:4" hidden="1" x14ac:dyDescent="0.25">
      <c r="A254" s="1">
        <v>44524</v>
      </c>
      <c r="B254" s="2">
        <v>341.06</v>
      </c>
      <c r="C254" t="str">
        <f t="shared" si="3"/>
        <v/>
      </c>
      <c r="D254" s="5" t="str" cm="1">
        <f t="array" ref="D254">IF(C254="","",C254/LOOKUP(2,1/($C$1:C253&lt;&gt;""),$C$1:C253)-1)</f>
        <v/>
      </c>
    </row>
    <row r="255" spans="1:4" x14ac:dyDescent="0.25">
      <c r="A255" s="1">
        <v>44526</v>
      </c>
      <c r="B255" s="2">
        <v>333.12</v>
      </c>
      <c r="C255">
        <f t="shared" si="3"/>
        <v>333.12</v>
      </c>
      <c r="D255" cm="1">
        <f t="array" ref="D255">IF(C255="","",C255/LOOKUP(2,1/($C$1:C254&lt;&gt;""),$C$1:C254)-1)</f>
        <v>-3.527367506516077E-2</v>
      </c>
    </row>
    <row r="256" spans="1:4" hidden="1" x14ac:dyDescent="0.25">
      <c r="A256" s="1">
        <v>44529</v>
      </c>
      <c r="B256" s="2">
        <v>338.03</v>
      </c>
      <c r="C256" t="str">
        <f t="shared" si="3"/>
        <v/>
      </c>
      <c r="D256" s="5" t="str" cm="1">
        <f t="array" ref="D256">IF(C256="","",C256/LOOKUP(2,1/($C$1:C255&lt;&gt;""),$C$1:C255)-1)</f>
        <v/>
      </c>
    </row>
    <row r="257" spans="1:4" hidden="1" x14ac:dyDescent="0.25">
      <c r="A257" s="1">
        <v>44530</v>
      </c>
      <c r="B257" s="2">
        <v>324.45999999999998</v>
      </c>
      <c r="C257" t="str">
        <f t="shared" si="3"/>
        <v/>
      </c>
      <c r="D257" s="5" t="str" cm="1">
        <f t="array" ref="D257">IF(C257="","",C257/LOOKUP(2,1/($C$1:C256&lt;&gt;""),$C$1:C256)-1)</f>
        <v/>
      </c>
    </row>
    <row r="258" spans="1:4" hidden="1" x14ac:dyDescent="0.25">
      <c r="A258" s="1">
        <v>44531</v>
      </c>
      <c r="B258" s="2">
        <v>310.60000000000002</v>
      </c>
      <c r="C258" t="str">
        <f t="shared" si="3"/>
        <v/>
      </c>
      <c r="D258" s="5" t="str" cm="1">
        <f t="array" ref="D258">IF(C258="","",C258/LOOKUP(2,1/($C$1:C257&lt;&gt;""),$C$1:C257)-1)</f>
        <v/>
      </c>
    </row>
    <row r="259" spans="1:4" hidden="1" x14ac:dyDescent="0.25">
      <c r="A259" s="1">
        <v>44532</v>
      </c>
      <c r="B259" s="2">
        <v>310.39</v>
      </c>
      <c r="C259" t="str">
        <f t="shared" ref="C259:C322" si="4">IF(WEEKNUM(A259)&lt;&gt;WEEKNUM(A260),B259,"")</f>
        <v/>
      </c>
      <c r="D259" s="5" t="str" cm="1">
        <f t="array" ref="D259">IF(C259="","",C259/LOOKUP(2,1/($C$1:C258&lt;&gt;""),$C$1:C258)-1)</f>
        <v/>
      </c>
    </row>
    <row r="260" spans="1:4" x14ac:dyDescent="0.25">
      <c r="A260" s="1">
        <v>44533</v>
      </c>
      <c r="B260" s="2">
        <v>306.83999999999997</v>
      </c>
      <c r="C260">
        <f t="shared" si="4"/>
        <v>306.83999999999997</v>
      </c>
      <c r="D260" cm="1">
        <f t="array" ref="D260">IF(C260="","",C260/LOOKUP(2,1/($C$1:C259&lt;&gt;""),$C$1:C259)-1)</f>
        <v>-7.8890489913544748E-2</v>
      </c>
    </row>
    <row r="261" spans="1:4" hidden="1" x14ac:dyDescent="0.25">
      <c r="A261" s="1">
        <v>44536</v>
      </c>
      <c r="B261" s="2">
        <v>317.87</v>
      </c>
      <c r="C261" t="str">
        <f t="shared" si="4"/>
        <v/>
      </c>
      <c r="D261" s="5" t="str" cm="1">
        <f t="array" ref="D261">IF(C261="","",C261/LOOKUP(2,1/($C$1:C260&lt;&gt;""),$C$1:C260)-1)</f>
        <v/>
      </c>
    </row>
    <row r="262" spans="1:4" hidden="1" x14ac:dyDescent="0.25">
      <c r="A262" s="1">
        <v>44537</v>
      </c>
      <c r="B262" s="2">
        <v>322.81</v>
      </c>
      <c r="C262" t="str">
        <f t="shared" si="4"/>
        <v/>
      </c>
      <c r="D262" s="5" t="str" cm="1">
        <f t="array" ref="D262">IF(C262="","",C262/LOOKUP(2,1/($C$1:C261&lt;&gt;""),$C$1:C261)-1)</f>
        <v/>
      </c>
    </row>
    <row r="263" spans="1:4" hidden="1" x14ac:dyDescent="0.25">
      <c r="A263" s="1">
        <v>44538</v>
      </c>
      <c r="B263" s="2">
        <v>330.56</v>
      </c>
      <c r="C263" t="str">
        <f t="shared" si="4"/>
        <v/>
      </c>
      <c r="D263" s="5" t="str" cm="1">
        <f t="array" ref="D263">IF(C263="","",C263/LOOKUP(2,1/($C$1:C262&lt;&gt;""),$C$1:C262)-1)</f>
        <v/>
      </c>
    </row>
    <row r="264" spans="1:4" hidden="1" x14ac:dyDescent="0.25">
      <c r="A264" s="1">
        <v>44539</v>
      </c>
      <c r="B264" s="2">
        <v>329.82</v>
      </c>
      <c r="C264" t="str">
        <f t="shared" si="4"/>
        <v/>
      </c>
      <c r="D264" s="5" t="str" cm="1">
        <f t="array" ref="D264">IF(C264="","",C264/LOOKUP(2,1/($C$1:C263&lt;&gt;""),$C$1:C263)-1)</f>
        <v/>
      </c>
    </row>
    <row r="265" spans="1:4" x14ac:dyDescent="0.25">
      <c r="A265" s="1">
        <v>44540</v>
      </c>
      <c r="B265" s="2">
        <v>329.75</v>
      </c>
      <c r="C265">
        <f t="shared" si="4"/>
        <v>329.75</v>
      </c>
      <c r="D265" cm="1">
        <f t="array" ref="D265">IF(C265="","",C265/LOOKUP(2,1/($C$1:C264&lt;&gt;""),$C$1:C264)-1)</f>
        <v>7.4664320166862197E-2</v>
      </c>
    </row>
    <row r="266" spans="1:4" hidden="1" x14ac:dyDescent="0.25">
      <c r="A266" s="1">
        <v>44543</v>
      </c>
      <c r="B266" s="2">
        <v>334.49</v>
      </c>
      <c r="C266" t="str">
        <f t="shared" si="4"/>
        <v/>
      </c>
      <c r="D266" s="5" t="str" cm="1">
        <f t="array" ref="D266">IF(C266="","",C266/LOOKUP(2,1/($C$1:C265&lt;&gt;""),$C$1:C265)-1)</f>
        <v/>
      </c>
    </row>
    <row r="267" spans="1:4" hidden="1" x14ac:dyDescent="0.25">
      <c r="A267" s="1">
        <v>44544</v>
      </c>
      <c r="B267" s="2">
        <v>333.74</v>
      </c>
      <c r="C267" t="str">
        <f t="shared" si="4"/>
        <v/>
      </c>
      <c r="D267" s="5" t="str" cm="1">
        <f t="array" ref="D267">IF(C267="","",C267/LOOKUP(2,1/($C$1:C266&lt;&gt;""),$C$1:C266)-1)</f>
        <v/>
      </c>
    </row>
    <row r="268" spans="1:4" hidden="1" x14ac:dyDescent="0.25">
      <c r="A268" s="1">
        <v>44545</v>
      </c>
      <c r="B268" s="2">
        <v>341.66</v>
      </c>
      <c r="C268" t="str">
        <f t="shared" si="4"/>
        <v/>
      </c>
      <c r="D268" s="5" t="str" cm="1">
        <f t="array" ref="D268">IF(C268="","",C268/LOOKUP(2,1/($C$1:C267&lt;&gt;""),$C$1:C267)-1)</f>
        <v/>
      </c>
    </row>
    <row r="269" spans="1:4" hidden="1" x14ac:dyDescent="0.25">
      <c r="A269" s="1">
        <v>44546</v>
      </c>
      <c r="B269" s="2">
        <v>334.9</v>
      </c>
      <c r="C269" t="str">
        <f t="shared" si="4"/>
        <v/>
      </c>
      <c r="D269" s="5" t="str" cm="1">
        <f t="array" ref="D269">IF(C269="","",C269/LOOKUP(2,1/($C$1:C268&lt;&gt;""),$C$1:C268)-1)</f>
        <v/>
      </c>
    </row>
    <row r="270" spans="1:4" x14ac:dyDescent="0.25">
      <c r="A270" s="1">
        <v>44547</v>
      </c>
      <c r="B270" s="2">
        <v>333.79</v>
      </c>
      <c r="C270">
        <f t="shared" si="4"/>
        <v>333.79</v>
      </c>
      <c r="D270" cm="1">
        <f t="array" ref="D270">IF(C270="","",C270/LOOKUP(2,1/($C$1:C269&lt;&gt;""),$C$1:C269)-1)</f>
        <v>1.2251705837756033E-2</v>
      </c>
    </row>
    <row r="271" spans="1:4" hidden="1" x14ac:dyDescent="0.25">
      <c r="A271" s="1">
        <v>44550</v>
      </c>
      <c r="B271" s="2">
        <v>325.45</v>
      </c>
      <c r="C271" t="str">
        <f t="shared" si="4"/>
        <v/>
      </c>
      <c r="D271" s="5" t="str" cm="1">
        <f t="array" ref="D271">IF(C271="","",C271/LOOKUP(2,1/($C$1:C270&lt;&gt;""),$C$1:C270)-1)</f>
        <v/>
      </c>
    </row>
    <row r="272" spans="1:4" hidden="1" x14ac:dyDescent="0.25">
      <c r="A272" s="1">
        <v>44551</v>
      </c>
      <c r="B272" s="2">
        <v>334.2</v>
      </c>
      <c r="C272" t="str">
        <f t="shared" si="4"/>
        <v/>
      </c>
      <c r="D272" s="5" t="str" cm="1">
        <f t="array" ref="D272">IF(C272="","",C272/LOOKUP(2,1/($C$1:C271&lt;&gt;""),$C$1:C271)-1)</f>
        <v/>
      </c>
    </row>
    <row r="273" spans="1:4" hidden="1" x14ac:dyDescent="0.25">
      <c r="A273" s="1">
        <v>44552</v>
      </c>
      <c r="B273" s="2">
        <v>330.45</v>
      </c>
      <c r="C273" t="str">
        <f t="shared" si="4"/>
        <v/>
      </c>
      <c r="D273" s="5" t="str" cm="1">
        <f t="array" ref="D273">IF(C273="","",C273/LOOKUP(2,1/($C$1:C272&lt;&gt;""),$C$1:C272)-1)</f>
        <v/>
      </c>
    </row>
    <row r="274" spans="1:4" x14ac:dyDescent="0.25">
      <c r="A274" s="1">
        <v>44553</v>
      </c>
      <c r="B274" s="2">
        <v>335.24</v>
      </c>
      <c r="C274">
        <f t="shared" si="4"/>
        <v>335.24</v>
      </c>
      <c r="D274" cm="1">
        <f t="array" ref="D274">IF(C274="","",C274/LOOKUP(2,1/($C$1:C273&lt;&gt;""),$C$1:C273)-1)</f>
        <v>4.3440486533448119E-3</v>
      </c>
    </row>
    <row r="275" spans="1:4" hidden="1" x14ac:dyDescent="0.25">
      <c r="A275" s="1">
        <v>44557</v>
      </c>
      <c r="B275" s="2">
        <v>346.18</v>
      </c>
      <c r="C275" t="str">
        <f t="shared" si="4"/>
        <v/>
      </c>
      <c r="D275" s="5" t="str" cm="1">
        <f t="array" ref="D275">IF(C275="","",C275/LOOKUP(2,1/($C$1:C274&lt;&gt;""),$C$1:C274)-1)</f>
        <v/>
      </c>
    </row>
    <row r="276" spans="1:4" hidden="1" x14ac:dyDescent="0.25">
      <c r="A276" s="1">
        <v>44558</v>
      </c>
      <c r="B276" s="2">
        <v>346.22</v>
      </c>
      <c r="C276" t="str">
        <f t="shared" si="4"/>
        <v/>
      </c>
      <c r="D276" s="5" t="str" cm="1">
        <f t="array" ref="D276">IF(C276="","",C276/LOOKUP(2,1/($C$1:C275&lt;&gt;""),$C$1:C275)-1)</f>
        <v/>
      </c>
    </row>
    <row r="277" spans="1:4" hidden="1" x14ac:dyDescent="0.25">
      <c r="A277" s="1">
        <v>44559</v>
      </c>
      <c r="B277" s="2">
        <v>342.94</v>
      </c>
      <c r="C277" t="str">
        <f t="shared" si="4"/>
        <v/>
      </c>
      <c r="D277" s="5" t="str" cm="1">
        <f t="array" ref="D277">IF(C277="","",C277/LOOKUP(2,1/($C$1:C276&lt;&gt;""),$C$1:C276)-1)</f>
        <v/>
      </c>
    </row>
    <row r="278" spans="1:4" hidden="1" x14ac:dyDescent="0.25">
      <c r="A278" s="1">
        <v>44560</v>
      </c>
      <c r="B278" s="2">
        <v>344.36</v>
      </c>
      <c r="C278" t="str">
        <f t="shared" si="4"/>
        <v/>
      </c>
      <c r="D278" s="5" t="str" cm="1">
        <f t="array" ref="D278">IF(C278="","",C278/LOOKUP(2,1/($C$1:C277&lt;&gt;""),$C$1:C277)-1)</f>
        <v/>
      </c>
    </row>
    <row r="279" spans="1:4" x14ac:dyDescent="0.25">
      <c r="A279" s="1">
        <v>44561</v>
      </c>
      <c r="B279" s="2">
        <v>336.35</v>
      </c>
      <c r="C279">
        <f t="shared" si="4"/>
        <v>336.35</v>
      </c>
      <c r="D279" cm="1">
        <f t="array" ref="D279">IF(C279="","",C279/LOOKUP(2,1/($C$1:C278&lt;&gt;""),$C$1:C278)-1)</f>
        <v>3.3110607326094499E-3</v>
      </c>
    </row>
    <row r="280" spans="1:4" hidden="1" x14ac:dyDescent="0.25">
      <c r="A280" s="1">
        <v>44564</v>
      </c>
      <c r="B280" s="2">
        <v>338.54</v>
      </c>
      <c r="C280" t="str">
        <f t="shared" si="4"/>
        <v/>
      </c>
      <c r="D280" s="5" t="str" cm="1">
        <f t="array" ref="D280">IF(C280="","",C280/LOOKUP(2,1/($C$1:C279&lt;&gt;""),$C$1:C279)-1)</f>
        <v/>
      </c>
    </row>
    <row r="281" spans="1:4" hidden="1" x14ac:dyDescent="0.25">
      <c r="A281" s="1">
        <v>44565</v>
      </c>
      <c r="B281" s="2">
        <v>336.53</v>
      </c>
      <c r="C281" t="str">
        <f t="shared" si="4"/>
        <v/>
      </c>
      <c r="D281" s="5" t="str" cm="1">
        <f t="array" ref="D281">IF(C281="","",C281/LOOKUP(2,1/($C$1:C280&lt;&gt;""),$C$1:C280)-1)</f>
        <v/>
      </c>
    </row>
    <row r="282" spans="1:4" hidden="1" x14ac:dyDescent="0.25">
      <c r="A282" s="1">
        <v>44566</v>
      </c>
      <c r="B282" s="2">
        <v>324.17</v>
      </c>
      <c r="C282" t="str">
        <f t="shared" si="4"/>
        <v/>
      </c>
      <c r="D282" s="5" t="str" cm="1">
        <f t="array" ref="D282">IF(C282="","",C282/LOOKUP(2,1/($C$1:C281&lt;&gt;""),$C$1:C281)-1)</f>
        <v/>
      </c>
    </row>
    <row r="283" spans="1:4" hidden="1" x14ac:dyDescent="0.25">
      <c r="A283" s="1">
        <v>44567</v>
      </c>
      <c r="B283" s="2">
        <v>332.46</v>
      </c>
      <c r="C283" t="str">
        <f t="shared" si="4"/>
        <v/>
      </c>
      <c r="D283" s="5" t="str" cm="1">
        <f t="array" ref="D283">IF(C283="","",C283/LOOKUP(2,1/($C$1:C282&lt;&gt;""),$C$1:C282)-1)</f>
        <v/>
      </c>
    </row>
    <row r="284" spans="1:4" x14ac:dyDescent="0.25">
      <c r="A284" s="1">
        <v>44568</v>
      </c>
      <c r="B284" s="2">
        <v>331.79</v>
      </c>
      <c r="C284">
        <f t="shared" si="4"/>
        <v>331.79</v>
      </c>
      <c r="D284" cm="1">
        <f t="array" ref="D284">IF(C284="","",C284/LOOKUP(2,1/($C$1:C283&lt;&gt;""),$C$1:C283)-1)</f>
        <v>-1.3557306377285583E-2</v>
      </c>
    </row>
    <row r="285" spans="1:4" hidden="1" x14ac:dyDescent="0.25">
      <c r="A285" s="1">
        <v>44571</v>
      </c>
      <c r="B285" s="2">
        <v>328.07</v>
      </c>
      <c r="C285" t="str">
        <f t="shared" si="4"/>
        <v/>
      </c>
      <c r="D285" s="5" t="str" cm="1">
        <f t="array" ref="D285">IF(C285="","",C285/LOOKUP(2,1/($C$1:C284&lt;&gt;""),$C$1:C284)-1)</f>
        <v/>
      </c>
    </row>
    <row r="286" spans="1:4" hidden="1" x14ac:dyDescent="0.25">
      <c r="A286" s="1">
        <v>44572</v>
      </c>
      <c r="B286" s="2">
        <v>334.37</v>
      </c>
      <c r="C286" t="str">
        <f t="shared" si="4"/>
        <v/>
      </c>
      <c r="D286" s="5" t="str" cm="1">
        <f t="array" ref="D286">IF(C286="","",C286/LOOKUP(2,1/($C$1:C285&lt;&gt;""),$C$1:C285)-1)</f>
        <v/>
      </c>
    </row>
    <row r="287" spans="1:4" hidden="1" x14ac:dyDescent="0.25">
      <c r="A287" s="1">
        <v>44573</v>
      </c>
      <c r="B287" s="2">
        <v>333.26</v>
      </c>
      <c r="C287" t="str">
        <f t="shared" si="4"/>
        <v/>
      </c>
      <c r="D287" s="5" t="str" cm="1">
        <f t="array" ref="D287">IF(C287="","",C287/LOOKUP(2,1/($C$1:C286&lt;&gt;""),$C$1:C286)-1)</f>
        <v/>
      </c>
    </row>
    <row r="288" spans="1:4" hidden="1" x14ac:dyDescent="0.25">
      <c r="A288" s="1">
        <v>44574</v>
      </c>
      <c r="B288" s="2">
        <v>326.48</v>
      </c>
      <c r="C288" t="str">
        <f t="shared" si="4"/>
        <v/>
      </c>
      <c r="D288" s="5" t="str" cm="1">
        <f t="array" ref="D288">IF(C288="","",C288/LOOKUP(2,1/($C$1:C287&lt;&gt;""),$C$1:C287)-1)</f>
        <v/>
      </c>
    </row>
    <row r="289" spans="1:4" x14ac:dyDescent="0.25">
      <c r="A289" s="1">
        <v>44575</v>
      </c>
      <c r="B289" s="2">
        <v>331.9</v>
      </c>
      <c r="C289">
        <f t="shared" si="4"/>
        <v>331.9</v>
      </c>
      <c r="D289" cm="1">
        <f t="array" ref="D289">IF(C289="","",C289/LOOKUP(2,1/($C$1:C288&lt;&gt;""),$C$1:C288)-1)</f>
        <v>3.3153500708271721E-4</v>
      </c>
    </row>
    <row r="290" spans="1:4" hidden="1" x14ac:dyDescent="0.25">
      <c r="A290" s="1">
        <v>44579</v>
      </c>
      <c r="B290" s="2">
        <v>318.14999999999998</v>
      </c>
      <c r="C290" t="str">
        <f t="shared" si="4"/>
        <v/>
      </c>
      <c r="D290" s="5" t="str" cm="1">
        <f t="array" ref="D290">IF(C290="","",C290/LOOKUP(2,1/($C$1:C289&lt;&gt;""),$C$1:C289)-1)</f>
        <v/>
      </c>
    </row>
    <row r="291" spans="1:4" hidden="1" x14ac:dyDescent="0.25">
      <c r="A291" s="1">
        <v>44580</v>
      </c>
      <c r="B291" s="2">
        <v>319.58999999999997</v>
      </c>
      <c r="C291" t="str">
        <f t="shared" si="4"/>
        <v/>
      </c>
      <c r="D291" s="5" t="str" cm="1">
        <f t="array" ref="D291">IF(C291="","",C291/LOOKUP(2,1/($C$1:C290&lt;&gt;""),$C$1:C290)-1)</f>
        <v/>
      </c>
    </row>
    <row r="292" spans="1:4" hidden="1" x14ac:dyDescent="0.25">
      <c r="A292" s="1">
        <v>44581</v>
      </c>
      <c r="B292" s="2">
        <v>316.56</v>
      </c>
      <c r="C292" t="str">
        <f t="shared" si="4"/>
        <v/>
      </c>
      <c r="D292" s="5" t="str" cm="1">
        <f t="array" ref="D292">IF(C292="","",C292/LOOKUP(2,1/($C$1:C291&lt;&gt;""),$C$1:C291)-1)</f>
        <v/>
      </c>
    </row>
    <row r="293" spans="1:4" x14ac:dyDescent="0.25">
      <c r="A293" s="1">
        <v>44582</v>
      </c>
      <c r="B293" s="2">
        <v>303.17</v>
      </c>
      <c r="C293">
        <f t="shared" si="4"/>
        <v>303.17</v>
      </c>
      <c r="D293" cm="1">
        <f t="array" ref="D293">IF(C293="","",C293/LOOKUP(2,1/($C$1:C292&lt;&gt;""),$C$1:C292)-1)</f>
        <v>-8.6562217535402164E-2</v>
      </c>
    </row>
    <row r="294" spans="1:4" hidden="1" x14ac:dyDescent="0.25">
      <c r="A294" s="1">
        <v>44585</v>
      </c>
      <c r="B294" s="2">
        <v>308.70999999999998</v>
      </c>
      <c r="C294" t="str">
        <f t="shared" si="4"/>
        <v/>
      </c>
      <c r="D294" s="5" t="str" cm="1">
        <f t="array" ref="D294">IF(C294="","",C294/LOOKUP(2,1/($C$1:C293&lt;&gt;""),$C$1:C293)-1)</f>
        <v/>
      </c>
    </row>
    <row r="295" spans="1:4" hidden="1" x14ac:dyDescent="0.25">
      <c r="A295" s="1">
        <v>44586</v>
      </c>
      <c r="B295" s="2">
        <v>300.14999999999998</v>
      </c>
      <c r="C295" t="str">
        <f t="shared" si="4"/>
        <v/>
      </c>
      <c r="D295" s="5" t="str" cm="1">
        <f t="array" ref="D295">IF(C295="","",C295/LOOKUP(2,1/($C$1:C294&lt;&gt;""),$C$1:C294)-1)</f>
        <v/>
      </c>
    </row>
    <row r="296" spans="1:4" hidden="1" x14ac:dyDescent="0.25">
      <c r="A296" s="1">
        <v>44587</v>
      </c>
      <c r="B296" s="2">
        <v>294.63</v>
      </c>
      <c r="C296" t="str">
        <f t="shared" si="4"/>
        <v/>
      </c>
      <c r="D296" s="5" t="str" cm="1">
        <f t="array" ref="D296">IF(C296="","",C296/LOOKUP(2,1/($C$1:C295&lt;&gt;""),$C$1:C295)-1)</f>
        <v/>
      </c>
    </row>
    <row r="297" spans="1:4" hidden="1" x14ac:dyDescent="0.25">
      <c r="A297" s="1">
        <v>44588</v>
      </c>
      <c r="B297" s="2">
        <v>294.64</v>
      </c>
      <c r="C297" t="str">
        <f t="shared" si="4"/>
        <v/>
      </c>
      <c r="D297" s="5" t="str" cm="1">
        <f t="array" ref="D297">IF(C297="","",C297/LOOKUP(2,1/($C$1:C296&lt;&gt;""),$C$1:C296)-1)</f>
        <v/>
      </c>
    </row>
    <row r="298" spans="1:4" x14ac:dyDescent="0.25">
      <c r="A298" s="1">
        <v>44589</v>
      </c>
      <c r="B298" s="2">
        <v>301.70999999999998</v>
      </c>
      <c r="C298">
        <f t="shared" si="4"/>
        <v>301.70999999999998</v>
      </c>
      <c r="D298" cm="1">
        <f t="array" ref="D298">IF(C298="","",C298/LOOKUP(2,1/($C$1:C297&lt;&gt;""),$C$1:C297)-1)</f>
        <v>-4.8157799254544553E-3</v>
      </c>
    </row>
    <row r="299" spans="1:4" hidden="1" x14ac:dyDescent="0.25">
      <c r="A299" s="1">
        <v>44592</v>
      </c>
      <c r="B299" s="2">
        <v>313.26</v>
      </c>
      <c r="C299" t="str">
        <f t="shared" si="4"/>
        <v/>
      </c>
      <c r="D299" s="5" t="str" cm="1">
        <f t="array" ref="D299">IF(C299="","",C299/LOOKUP(2,1/($C$1:C298&lt;&gt;""),$C$1:C298)-1)</f>
        <v/>
      </c>
    </row>
    <row r="300" spans="1:4" hidden="1" x14ac:dyDescent="0.25">
      <c r="A300" s="1">
        <v>44593</v>
      </c>
      <c r="B300" s="2">
        <v>319</v>
      </c>
      <c r="C300" t="str">
        <f t="shared" si="4"/>
        <v/>
      </c>
      <c r="D300" s="5" t="str" cm="1">
        <f t="array" ref="D300">IF(C300="","",C300/LOOKUP(2,1/($C$1:C299&lt;&gt;""),$C$1:C299)-1)</f>
        <v/>
      </c>
    </row>
    <row r="301" spans="1:4" hidden="1" x14ac:dyDescent="0.25">
      <c r="A301" s="1">
        <v>44594</v>
      </c>
      <c r="B301" s="2">
        <v>323</v>
      </c>
      <c r="C301" t="str">
        <f t="shared" si="4"/>
        <v/>
      </c>
      <c r="D301" s="5" t="str" cm="1">
        <f t="array" ref="D301">IF(C301="","",C301/LOOKUP(2,1/($C$1:C300&lt;&gt;""),$C$1:C300)-1)</f>
        <v/>
      </c>
    </row>
    <row r="302" spans="1:4" hidden="1" x14ac:dyDescent="0.25">
      <c r="A302" s="1">
        <v>44595</v>
      </c>
      <c r="B302" s="2">
        <v>237.76</v>
      </c>
      <c r="C302" t="str">
        <f t="shared" si="4"/>
        <v/>
      </c>
      <c r="D302" s="5" t="str" cm="1">
        <f t="array" ref="D302">IF(C302="","",C302/LOOKUP(2,1/($C$1:C301&lt;&gt;""),$C$1:C301)-1)</f>
        <v/>
      </c>
    </row>
    <row r="303" spans="1:4" x14ac:dyDescent="0.25">
      <c r="A303" s="1">
        <v>44596</v>
      </c>
      <c r="B303" s="2">
        <v>237.09</v>
      </c>
      <c r="C303">
        <f t="shared" si="4"/>
        <v>237.09</v>
      </c>
      <c r="D303" cm="1">
        <f t="array" ref="D303">IF(C303="","",C303/LOOKUP(2,1/($C$1:C302&lt;&gt;""),$C$1:C302)-1)</f>
        <v>-0.21417917868151526</v>
      </c>
    </row>
    <row r="304" spans="1:4" hidden="1" x14ac:dyDescent="0.25">
      <c r="A304" s="1">
        <v>44599</v>
      </c>
      <c r="B304" s="2">
        <v>224.91</v>
      </c>
      <c r="C304" t="str">
        <f t="shared" si="4"/>
        <v/>
      </c>
      <c r="D304" s="5" t="str" cm="1">
        <f t="array" ref="D304">IF(C304="","",C304/LOOKUP(2,1/($C$1:C303&lt;&gt;""),$C$1:C303)-1)</f>
        <v/>
      </c>
    </row>
    <row r="305" spans="1:4" hidden="1" x14ac:dyDescent="0.25">
      <c r="A305" s="1">
        <v>44600</v>
      </c>
      <c r="B305" s="2">
        <v>220.18</v>
      </c>
      <c r="C305" t="str">
        <f t="shared" si="4"/>
        <v/>
      </c>
      <c r="D305" s="5" t="str" cm="1">
        <f t="array" ref="D305">IF(C305="","",C305/LOOKUP(2,1/($C$1:C304&lt;&gt;""),$C$1:C304)-1)</f>
        <v/>
      </c>
    </row>
    <row r="306" spans="1:4" hidden="1" x14ac:dyDescent="0.25">
      <c r="A306" s="1">
        <v>44601</v>
      </c>
      <c r="B306" s="2">
        <v>232</v>
      </c>
      <c r="C306" t="str">
        <f t="shared" si="4"/>
        <v/>
      </c>
      <c r="D306" s="5" t="str" cm="1">
        <f t="array" ref="D306">IF(C306="","",C306/LOOKUP(2,1/($C$1:C305&lt;&gt;""),$C$1:C305)-1)</f>
        <v/>
      </c>
    </row>
    <row r="307" spans="1:4" hidden="1" x14ac:dyDescent="0.25">
      <c r="A307" s="1">
        <v>44602</v>
      </c>
      <c r="B307" s="2">
        <v>228.07</v>
      </c>
      <c r="C307" t="str">
        <f t="shared" si="4"/>
        <v/>
      </c>
      <c r="D307" s="5" t="str" cm="1">
        <f t="array" ref="D307">IF(C307="","",C307/LOOKUP(2,1/($C$1:C306&lt;&gt;""),$C$1:C306)-1)</f>
        <v/>
      </c>
    </row>
    <row r="308" spans="1:4" x14ac:dyDescent="0.25">
      <c r="A308" s="1">
        <v>44603</v>
      </c>
      <c r="B308" s="2">
        <v>219.55</v>
      </c>
      <c r="C308">
        <f t="shared" si="4"/>
        <v>219.55</v>
      </c>
      <c r="D308" cm="1">
        <f t="array" ref="D308">IF(C308="","",C308/LOOKUP(2,1/($C$1:C307&lt;&gt;""),$C$1:C307)-1)</f>
        <v>-7.3980345016660287E-2</v>
      </c>
    </row>
    <row r="309" spans="1:4" hidden="1" x14ac:dyDescent="0.25">
      <c r="A309" s="1">
        <v>44606</v>
      </c>
      <c r="B309" s="2">
        <v>217.7</v>
      </c>
      <c r="C309" t="str">
        <f t="shared" si="4"/>
        <v/>
      </c>
      <c r="D309" s="5" t="str" cm="1">
        <f t="array" ref="D309">IF(C309="","",C309/LOOKUP(2,1/($C$1:C308&lt;&gt;""),$C$1:C308)-1)</f>
        <v/>
      </c>
    </row>
    <row r="310" spans="1:4" hidden="1" x14ac:dyDescent="0.25">
      <c r="A310" s="1">
        <v>44607</v>
      </c>
      <c r="B310" s="2">
        <v>221</v>
      </c>
      <c r="C310" t="str">
        <f t="shared" si="4"/>
        <v/>
      </c>
      <c r="D310" s="5" t="str" cm="1">
        <f t="array" ref="D310">IF(C310="","",C310/LOOKUP(2,1/($C$1:C309&lt;&gt;""),$C$1:C309)-1)</f>
        <v/>
      </c>
    </row>
    <row r="311" spans="1:4" hidden="1" x14ac:dyDescent="0.25">
      <c r="A311" s="1">
        <v>44608</v>
      </c>
      <c r="B311" s="2">
        <v>216.54</v>
      </c>
      <c r="C311" t="str">
        <f t="shared" si="4"/>
        <v/>
      </c>
      <c r="D311" s="5" t="str" cm="1">
        <f t="array" ref="D311">IF(C311="","",C311/LOOKUP(2,1/($C$1:C310&lt;&gt;""),$C$1:C310)-1)</f>
        <v/>
      </c>
    </row>
    <row r="312" spans="1:4" hidden="1" x14ac:dyDescent="0.25">
      <c r="A312" s="1">
        <v>44609</v>
      </c>
      <c r="B312" s="2">
        <v>207.71</v>
      </c>
      <c r="C312" t="str">
        <f t="shared" si="4"/>
        <v/>
      </c>
      <c r="D312" s="5" t="str" cm="1">
        <f t="array" ref="D312">IF(C312="","",C312/LOOKUP(2,1/($C$1:C311&lt;&gt;""),$C$1:C311)-1)</f>
        <v/>
      </c>
    </row>
    <row r="313" spans="1:4" x14ac:dyDescent="0.25">
      <c r="A313" s="1">
        <v>44610</v>
      </c>
      <c r="B313" s="2">
        <v>206.16</v>
      </c>
      <c r="C313">
        <f t="shared" si="4"/>
        <v>206.16</v>
      </c>
      <c r="D313" cm="1">
        <f t="array" ref="D313">IF(C313="","",C313/LOOKUP(2,1/($C$1:C312&lt;&gt;""),$C$1:C312)-1)</f>
        <v>-6.0988385333637041E-2</v>
      </c>
    </row>
    <row r="314" spans="1:4" hidden="1" x14ac:dyDescent="0.25">
      <c r="A314" s="1">
        <v>44614</v>
      </c>
      <c r="B314" s="2">
        <v>202.08</v>
      </c>
      <c r="C314" t="str">
        <f t="shared" si="4"/>
        <v/>
      </c>
      <c r="D314" s="5" t="str" cm="1">
        <f t="array" ref="D314">IF(C314="","",C314/LOOKUP(2,1/($C$1:C313&lt;&gt;""),$C$1:C313)-1)</f>
        <v/>
      </c>
    </row>
    <row r="315" spans="1:4" hidden="1" x14ac:dyDescent="0.25">
      <c r="A315" s="1">
        <v>44615</v>
      </c>
      <c r="B315" s="2">
        <v>198.45</v>
      </c>
      <c r="C315" t="str">
        <f t="shared" si="4"/>
        <v/>
      </c>
      <c r="D315" s="5" t="str" cm="1">
        <f t="array" ref="D315">IF(C315="","",C315/LOOKUP(2,1/($C$1:C314&lt;&gt;""),$C$1:C314)-1)</f>
        <v/>
      </c>
    </row>
    <row r="316" spans="1:4" hidden="1" x14ac:dyDescent="0.25">
      <c r="A316" s="1">
        <v>44616</v>
      </c>
      <c r="B316" s="2">
        <v>207.6</v>
      </c>
      <c r="C316" t="str">
        <f t="shared" si="4"/>
        <v/>
      </c>
      <c r="D316" s="5" t="str" cm="1">
        <f t="array" ref="D316">IF(C316="","",C316/LOOKUP(2,1/($C$1:C315&lt;&gt;""),$C$1:C315)-1)</f>
        <v/>
      </c>
    </row>
    <row r="317" spans="1:4" x14ac:dyDescent="0.25">
      <c r="A317" s="1">
        <v>44617</v>
      </c>
      <c r="B317" s="2">
        <v>210.48</v>
      </c>
      <c r="C317">
        <f t="shared" si="4"/>
        <v>210.48</v>
      </c>
      <c r="D317" cm="1">
        <f t="array" ref="D317">IF(C317="","",C317/LOOKUP(2,1/($C$1:C316&lt;&gt;""),$C$1:C316)-1)</f>
        <v>2.0954598370197974E-2</v>
      </c>
    </row>
    <row r="318" spans="1:4" hidden="1" x14ac:dyDescent="0.25">
      <c r="A318" s="1">
        <v>44620</v>
      </c>
      <c r="B318" s="2">
        <v>211.03</v>
      </c>
      <c r="C318" t="str">
        <f t="shared" si="4"/>
        <v/>
      </c>
      <c r="D318" s="5" t="str" cm="1">
        <f t="array" ref="D318">IF(C318="","",C318/LOOKUP(2,1/($C$1:C317&lt;&gt;""),$C$1:C317)-1)</f>
        <v/>
      </c>
    </row>
    <row r="319" spans="1:4" hidden="1" x14ac:dyDescent="0.25">
      <c r="A319" s="1">
        <v>44621</v>
      </c>
      <c r="B319" s="2">
        <v>203.49</v>
      </c>
      <c r="C319" t="str">
        <f t="shared" si="4"/>
        <v/>
      </c>
      <c r="D319" s="5" t="str" cm="1">
        <f t="array" ref="D319">IF(C319="","",C319/LOOKUP(2,1/($C$1:C318&lt;&gt;""),$C$1:C318)-1)</f>
        <v/>
      </c>
    </row>
    <row r="320" spans="1:4" hidden="1" x14ac:dyDescent="0.25">
      <c r="A320" s="1">
        <v>44622</v>
      </c>
      <c r="B320" s="2">
        <v>208.11</v>
      </c>
      <c r="C320" t="str">
        <f t="shared" si="4"/>
        <v/>
      </c>
      <c r="D320" s="5" t="str" cm="1">
        <f t="array" ref="D320">IF(C320="","",C320/LOOKUP(2,1/($C$1:C319&lt;&gt;""),$C$1:C319)-1)</f>
        <v/>
      </c>
    </row>
    <row r="321" spans="1:4" hidden="1" x14ac:dyDescent="0.25">
      <c r="A321" s="1">
        <v>44623</v>
      </c>
      <c r="B321" s="2">
        <v>202.97</v>
      </c>
      <c r="C321" t="str">
        <f t="shared" si="4"/>
        <v/>
      </c>
      <c r="D321" s="5" t="str" cm="1">
        <f t="array" ref="D321">IF(C321="","",C321/LOOKUP(2,1/($C$1:C320&lt;&gt;""),$C$1:C320)-1)</f>
        <v/>
      </c>
    </row>
    <row r="322" spans="1:4" x14ac:dyDescent="0.25">
      <c r="A322" s="1">
        <v>44624</v>
      </c>
      <c r="B322" s="2">
        <v>200.06</v>
      </c>
      <c r="C322">
        <f t="shared" si="4"/>
        <v>200.06</v>
      </c>
      <c r="D322" cm="1">
        <f t="array" ref="D322">IF(C322="","",C322/LOOKUP(2,1/($C$1:C321&lt;&gt;""),$C$1:C321)-1)</f>
        <v>-4.9505891296085069E-2</v>
      </c>
    </row>
    <row r="323" spans="1:4" hidden="1" x14ac:dyDescent="0.25">
      <c r="A323" s="1">
        <v>44627</v>
      </c>
      <c r="B323" s="2">
        <v>187.47</v>
      </c>
      <c r="C323" t="str">
        <f t="shared" ref="C323:C386" si="5">IF(WEEKNUM(A323)&lt;&gt;WEEKNUM(A324),B323,"")</f>
        <v/>
      </c>
      <c r="D323" s="5" t="str" cm="1">
        <f t="array" ref="D323">IF(C323="","",C323/LOOKUP(2,1/($C$1:C322&lt;&gt;""),$C$1:C322)-1)</f>
        <v/>
      </c>
    </row>
    <row r="324" spans="1:4" hidden="1" x14ac:dyDescent="0.25">
      <c r="A324" s="1">
        <v>44628</v>
      </c>
      <c r="B324" s="2">
        <v>190.29</v>
      </c>
      <c r="C324" t="str">
        <f t="shared" si="5"/>
        <v/>
      </c>
      <c r="D324" s="5" t="str" cm="1">
        <f t="array" ref="D324">IF(C324="","",C324/LOOKUP(2,1/($C$1:C323&lt;&gt;""),$C$1:C323)-1)</f>
        <v/>
      </c>
    </row>
    <row r="325" spans="1:4" hidden="1" x14ac:dyDescent="0.25">
      <c r="A325" s="1">
        <v>44629</v>
      </c>
      <c r="B325" s="2">
        <v>198.5</v>
      </c>
      <c r="C325" t="str">
        <f t="shared" si="5"/>
        <v/>
      </c>
      <c r="D325" s="5" t="str" cm="1">
        <f t="array" ref="D325">IF(C325="","",C325/LOOKUP(2,1/($C$1:C324&lt;&gt;""),$C$1:C324)-1)</f>
        <v/>
      </c>
    </row>
    <row r="326" spans="1:4" hidden="1" x14ac:dyDescent="0.25">
      <c r="A326" s="1">
        <v>44630</v>
      </c>
      <c r="B326" s="2">
        <v>195.21</v>
      </c>
      <c r="C326" t="str">
        <f t="shared" si="5"/>
        <v/>
      </c>
      <c r="D326" s="5" t="str" cm="1">
        <f t="array" ref="D326">IF(C326="","",C326/LOOKUP(2,1/($C$1:C325&lt;&gt;""),$C$1:C325)-1)</f>
        <v/>
      </c>
    </row>
    <row r="327" spans="1:4" x14ac:dyDescent="0.25">
      <c r="A327" s="1">
        <v>44631</v>
      </c>
      <c r="B327" s="2">
        <v>187.61</v>
      </c>
      <c r="C327">
        <f t="shared" si="5"/>
        <v>187.61</v>
      </c>
      <c r="D327" cm="1">
        <f t="array" ref="D327">IF(C327="","",C327/LOOKUP(2,1/($C$1:C326&lt;&gt;""),$C$1:C326)-1)</f>
        <v>-6.2231330600819645E-2</v>
      </c>
    </row>
    <row r="328" spans="1:4" hidden="1" x14ac:dyDescent="0.25">
      <c r="A328" s="1">
        <v>44634</v>
      </c>
      <c r="B328" s="2">
        <v>186.63</v>
      </c>
      <c r="C328" t="str">
        <f t="shared" si="5"/>
        <v/>
      </c>
      <c r="D328" s="5" t="str" cm="1">
        <f t="array" ref="D328">IF(C328="","",C328/LOOKUP(2,1/($C$1:C327&lt;&gt;""),$C$1:C327)-1)</f>
        <v/>
      </c>
    </row>
    <row r="329" spans="1:4" hidden="1" x14ac:dyDescent="0.25">
      <c r="A329" s="1">
        <v>44635</v>
      </c>
      <c r="B329" s="2">
        <v>192.03</v>
      </c>
      <c r="C329" t="str">
        <f t="shared" si="5"/>
        <v/>
      </c>
      <c r="D329" s="5" t="str" cm="1">
        <f t="array" ref="D329">IF(C329="","",C329/LOOKUP(2,1/($C$1:C328&lt;&gt;""),$C$1:C328)-1)</f>
        <v/>
      </c>
    </row>
    <row r="330" spans="1:4" hidden="1" x14ac:dyDescent="0.25">
      <c r="A330" s="1">
        <v>44636</v>
      </c>
      <c r="B330" s="2">
        <v>203.63</v>
      </c>
      <c r="C330" t="str">
        <f t="shared" si="5"/>
        <v/>
      </c>
      <c r="D330" s="5" t="str" cm="1">
        <f t="array" ref="D330">IF(C330="","",C330/LOOKUP(2,1/($C$1:C329&lt;&gt;""),$C$1:C329)-1)</f>
        <v/>
      </c>
    </row>
    <row r="331" spans="1:4" hidden="1" x14ac:dyDescent="0.25">
      <c r="A331" s="1">
        <v>44637</v>
      </c>
      <c r="B331" s="2">
        <v>207.84</v>
      </c>
      <c r="C331" t="str">
        <f t="shared" si="5"/>
        <v/>
      </c>
      <c r="D331" s="5" t="str" cm="1">
        <f t="array" ref="D331">IF(C331="","",C331/LOOKUP(2,1/($C$1:C330&lt;&gt;""),$C$1:C330)-1)</f>
        <v/>
      </c>
    </row>
    <row r="332" spans="1:4" x14ac:dyDescent="0.25">
      <c r="A332" s="1">
        <v>44638</v>
      </c>
      <c r="B332" s="2">
        <v>216.49</v>
      </c>
      <c r="C332">
        <f t="shared" si="5"/>
        <v>216.49</v>
      </c>
      <c r="D332" cm="1">
        <f t="array" ref="D332">IF(C332="","",C332/LOOKUP(2,1/($C$1:C331&lt;&gt;""),$C$1:C331)-1)</f>
        <v>0.15393635733702893</v>
      </c>
    </row>
    <row r="333" spans="1:4" hidden="1" x14ac:dyDescent="0.25">
      <c r="A333" s="1">
        <v>44641</v>
      </c>
      <c r="B333" s="2">
        <v>211.49</v>
      </c>
      <c r="C333" t="str">
        <f t="shared" si="5"/>
        <v/>
      </c>
      <c r="D333" s="5" t="str" cm="1">
        <f t="array" ref="D333">IF(C333="","",C333/LOOKUP(2,1/($C$1:C332&lt;&gt;""),$C$1:C332)-1)</f>
        <v/>
      </c>
    </row>
    <row r="334" spans="1:4" hidden="1" x14ac:dyDescent="0.25">
      <c r="A334" s="1">
        <v>44642</v>
      </c>
      <c r="B334" s="2">
        <v>216.65</v>
      </c>
      <c r="C334" t="str">
        <f t="shared" si="5"/>
        <v/>
      </c>
      <c r="D334" s="5" t="str" cm="1">
        <f t="array" ref="D334">IF(C334="","",C334/LOOKUP(2,1/($C$1:C333&lt;&gt;""),$C$1:C333)-1)</f>
        <v/>
      </c>
    </row>
    <row r="335" spans="1:4" hidden="1" x14ac:dyDescent="0.25">
      <c r="A335" s="1">
        <v>44643</v>
      </c>
      <c r="B335" s="2">
        <v>213.46</v>
      </c>
      <c r="C335" t="str">
        <f t="shared" si="5"/>
        <v/>
      </c>
      <c r="D335" s="5" t="str" cm="1">
        <f t="array" ref="D335">IF(C335="","",C335/LOOKUP(2,1/($C$1:C334&lt;&gt;""),$C$1:C334)-1)</f>
        <v/>
      </c>
    </row>
    <row r="336" spans="1:4" hidden="1" x14ac:dyDescent="0.25">
      <c r="A336" s="1">
        <v>44644</v>
      </c>
      <c r="B336" s="2">
        <v>219.57</v>
      </c>
      <c r="C336" t="str">
        <f t="shared" si="5"/>
        <v/>
      </c>
      <c r="D336" s="5" t="str" cm="1">
        <f t="array" ref="D336">IF(C336="","",C336/LOOKUP(2,1/($C$1:C335&lt;&gt;""),$C$1:C335)-1)</f>
        <v/>
      </c>
    </row>
    <row r="337" spans="1:4" x14ac:dyDescent="0.25">
      <c r="A337" s="1">
        <v>44645</v>
      </c>
      <c r="B337" s="2">
        <v>221.82</v>
      </c>
      <c r="C337">
        <f t="shared" si="5"/>
        <v>221.82</v>
      </c>
      <c r="D337" cm="1">
        <f t="array" ref="D337">IF(C337="","",C337/LOOKUP(2,1/($C$1:C336&lt;&gt;""),$C$1:C336)-1)</f>
        <v>2.4620074830246086E-2</v>
      </c>
    </row>
    <row r="338" spans="1:4" hidden="1" x14ac:dyDescent="0.25">
      <c r="A338" s="1">
        <v>44648</v>
      </c>
      <c r="B338" s="2">
        <v>223.59</v>
      </c>
      <c r="C338" t="str">
        <f t="shared" si="5"/>
        <v/>
      </c>
      <c r="D338" s="5" t="str" cm="1">
        <f t="array" ref="D338">IF(C338="","",C338/LOOKUP(2,1/($C$1:C337&lt;&gt;""),$C$1:C337)-1)</f>
        <v/>
      </c>
    </row>
    <row r="339" spans="1:4" hidden="1" x14ac:dyDescent="0.25">
      <c r="A339" s="1">
        <v>44649</v>
      </c>
      <c r="B339" s="2">
        <v>229.86</v>
      </c>
      <c r="C339" t="str">
        <f t="shared" si="5"/>
        <v/>
      </c>
      <c r="D339" s="5" t="str" cm="1">
        <f t="array" ref="D339">IF(C339="","",C339/LOOKUP(2,1/($C$1:C338&lt;&gt;""),$C$1:C338)-1)</f>
        <v/>
      </c>
    </row>
    <row r="340" spans="1:4" hidden="1" x14ac:dyDescent="0.25">
      <c r="A340" s="1">
        <v>44650</v>
      </c>
      <c r="B340" s="2">
        <v>227.85</v>
      </c>
      <c r="C340" t="str">
        <f t="shared" si="5"/>
        <v/>
      </c>
      <c r="D340" s="5" t="str" cm="1">
        <f t="array" ref="D340">IF(C340="","",C340/LOOKUP(2,1/($C$1:C339&lt;&gt;""),$C$1:C339)-1)</f>
        <v/>
      </c>
    </row>
    <row r="341" spans="1:4" hidden="1" x14ac:dyDescent="0.25">
      <c r="A341" s="1">
        <v>44651</v>
      </c>
      <c r="B341" s="2">
        <v>222.36</v>
      </c>
      <c r="C341" t="str">
        <f t="shared" si="5"/>
        <v/>
      </c>
      <c r="D341" s="5" t="str" cm="1">
        <f t="array" ref="D341">IF(C341="","",C341/LOOKUP(2,1/($C$1:C340&lt;&gt;""),$C$1:C340)-1)</f>
        <v/>
      </c>
    </row>
    <row r="342" spans="1:4" x14ac:dyDescent="0.25">
      <c r="A342" s="1">
        <v>44652</v>
      </c>
      <c r="B342" s="2">
        <v>224.85</v>
      </c>
      <c r="C342">
        <f t="shared" si="5"/>
        <v>224.85</v>
      </c>
      <c r="D342" cm="1">
        <f t="array" ref="D342">IF(C342="","",C342/LOOKUP(2,1/($C$1:C341&lt;&gt;""),$C$1:C341)-1)</f>
        <v>1.3659724100622217E-2</v>
      </c>
    </row>
    <row r="343" spans="1:4" hidden="1" x14ac:dyDescent="0.25">
      <c r="A343" s="1">
        <v>44655</v>
      </c>
      <c r="B343" s="2">
        <v>233.89</v>
      </c>
      <c r="C343" t="str">
        <f t="shared" si="5"/>
        <v/>
      </c>
      <c r="D343" s="5" t="str" cm="1">
        <f t="array" ref="D343">IF(C343="","",C343/LOOKUP(2,1/($C$1:C342&lt;&gt;""),$C$1:C342)-1)</f>
        <v/>
      </c>
    </row>
    <row r="344" spans="1:4" hidden="1" x14ac:dyDescent="0.25">
      <c r="A344" s="1">
        <v>44656</v>
      </c>
      <c r="B344" s="2">
        <v>231.84</v>
      </c>
      <c r="C344" t="str">
        <f t="shared" si="5"/>
        <v/>
      </c>
      <c r="D344" s="5" t="str" cm="1">
        <f t="array" ref="D344">IF(C344="","",C344/LOOKUP(2,1/($C$1:C343&lt;&gt;""),$C$1:C343)-1)</f>
        <v/>
      </c>
    </row>
    <row r="345" spans="1:4" hidden="1" x14ac:dyDescent="0.25">
      <c r="A345" s="1">
        <v>44657</v>
      </c>
      <c r="B345" s="2">
        <v>223.3</v>
      </c>
      <c r="C345" t="str">
        <f t="shared" si="5"/>
        <v/>
      </c>
      <c r="D345" s="5" t="str" cm="1">
        <f t="array" ref="D345">IF(C345="","",C345/LOOKUP(2,1/($C$1:C344&lt;&gt;""),$C$1:C344)-1)</f>
        <v/>
      </c>
    </row>
    <row r="346" spans="1:4" hidden="1" x14ac:dyDescent="0.25">
      <c r="A346" s="1">
        <v>44658</v>
      </c>
      <c r="B346" s="2">
        <v>222.95</v>
      </c>
      <c r="C346" t="str">
        <f t="shared" si="5"/>
        <v/>
      </c>
      <c r="D346" s="5" t="str" cm="1">
        <f t="array" ref="D346">IF(C346="","",C346/LOOKUP(2,1/($C$1:C345&lt;&gt;""),$C$1:C345)-1)</f>
        <v/>
      </c>
    </row>
    <row r="347" spans="1:4" x14ac:dyDescent="0.25">
      <c r="A347" s="1">
        <v>44659</v>
      </c>
      <c r="B347" s="2">
        <v>222.33</v>
      </c>
      <c r="C347">
        <f t="shared" si="5"/>
        <v>222.33</v>
      </c>
      <c r="D347" cm="1">
        <f t="array" ref="D347">IF(C347="","",C347/LOOKUP(2,1/($C$1:C346&lt;&gt;""),$C$1:C346)-1)</f>
        <v>-1.1207471647765144E-2</v>
      </c>
    </row>
    <row r="348" spans="1:4" hidden="1" x14ac:dyDescent="0.25">
      <c r="A348" s="1">
        <v>44662</v>
      </c>
      <c r="B348" s="2">
        <v>216.46</v>
      </c>
      <c r="C348" t="str">
        <f t="shared" si="5"/>
        <v/>
      </c>
      <c r="D348" s="5" t="str" cm="1">
        <f t="array" ref="D348">IF(C348="","",C348/LOOKUP(2,1/($C$1:C347&lt;&gt;""),$C$1:C347)-1)</f>
        <v/>
      </c>
    </row>
    <row r="349" spans="1:4" hidden="1" x14ac:dyDescent="0.25">
      <c r="A349" s="1">
        <v>44663</v>
      </c>
      <c r="B349" s="2">
        <v>214.14</v>
      </c>
      <c r="C349" t="str">
        <f t="shared" si="5"/>
        <v/>
      </c>
      <c r="D349" s="5" t="str" cm="1">
        <f t="array" ref="D349">IF(C349="","",C349/LOOKUP(2,1/($C$1:C348&lt;&gt;""),$C$1:C348)-1)</f>
        <v/>
      </c>
    </row>
    <row r="350" spans="1:4" hidden="1" x14ac:dyDescent="0.25">
      <c r="A350" s="1">
        <v>44664</v>
      </c>
      <c r="B350" s="2">
        <v>214.99</v>
      </c>
      <c r="C350" t="str">
        <f t="shared" si="5"/>
        <v/>
      </c>
      <c r="D350" s="5" t="str" cm="1">
        <f t="array" ref="D350">IF(C350="","",C350/LOOKUP(2,1/($C$1:C349&lt;&gt;""),$C$1:C349)-1)</f>
        <v/>
      </c>
    </row>
    <row r="351" spans="1:4" x14ac:dyDescent="0.25">
      <c r="A351" s="1">
        <v>44665</v>
      </c>
      <c r="B351" s="2">
        <v>210.18</v>
      </c>
      <c r="C351">
        <f t="shared" si="5"/>
        <v>210.18</v>
      </c>
      <c r="D351" cm="1">
        <f t="array" ref="D351">IF(C351="","",C351/LOOKUP(2,1/($C$1:C350&lt;&gt;""),$C$1:C350)-1)</f>
        <v>-5.4648495479692416E-2</v>
      </c>
    </row>
    <row r="352" spans="1:4" hidden="1" x14ac:dyDescent="0.25">
      <c r="A352" s="1">
        <v>44669</v>
      </c>
      <c r="B352" s="2">
        <v>210.77</v>
      </c>
      <c r="C352" t="str">
        <f t="shared" si="5"/>
        <v/>
      </c>
      <c r="D352" s="5" t="str" cm="1">
        <f t="array" ref="D352">IF(C352="","",C352/LOOKUP(2,1/($C$1:C351&lt;&gt;""),$C$1:C351)-1)</f>
        <v/>
      </c>
    </row>
    <row r="353" spans="1:4" hidden="1" x14ac:dyDescent="0.25">
      <c r="A353" s="1">
        <v>44670</v>
      </c>
      <c r="B353" s="2">
        <v>217.31</v>
      </c>
      <c r="C353" t="str">
        <f t="shared" si="5"/>
        <v/>
      </c>
      <c r="D353" s="5" t="str" cm="1">
        <f t="array" ref="D353">IF(C353="","",C353/LOOKUP(2,1/($C$1:C352&lt;&gt;""),$C$1:C352)-1)</f>
        <v/>
      </c>
    </row>
    <row r="354" spans="1:4" hidden="1" x14ac:dyDescent="0.25">
      <c r="A354" s="1">
        <v>44671</v>
      </c>
      <c r="B354" s="2">
        <v>200.42</v>
      </c>
      <c r="C354" t="str">
        <f t="shared" si="5"/>
        <v/>
      </c>
      <c r="D354" s="5" t="str" cm="1">
        <f t="array" ref="D354">IF(C354="","",C354/LOOKUP(2,1/($C$1:C353&lt;&gt;""),$C$1:C353)-1)</f>
        <v/>
      </c>
    </row>
    <row r="355" spans="1:4" hidden="1" x14ac:dyDescent="0.25">
      <c r="A355" s="1">
        <v>44672</v>
      </c>
      <c r="B355" s="2">
        <v>188.07</v>
      </c>
      <c r="C355" t="str">
        <f t="shared" si="5"/>
        <v/>
      </c>
      <c r="D355" s="5" t="str" cm="1">
        <f t="array" ref="D355">IF(C355="","",C355/LOOKUP(2,1/($C$1:C354&lt;&gt;""),$C$1:C354)-1)</f>
        <v/>
      </c>
    </row>
    <row r="356" spans="1:4" x14ac:dyDescent="0.25">
      <c r="A356" s="1">
        <v>44673</v>
      </c>
      <c r="B356" s="2">
        <v>184.11</v>
      </c>
      <c r="C356">
        <f t="shared" si="5"/>
        <v>184.11</v>
      </c>
      <c r="D356" cm="1">
        <f t="array" ref="D356">IF(C356="","",C356/LOOKUP(2,1/($C$1:C355&lt;&gt;""),$C$1:C355)-1)</f>
        <v>-0.12403654010847842</v>
      </c>
    </row>
    <row r="357" spans="1:4" hidden="1" x14ac:dyDescent="0.25">
      <c r="A357" s="1">
        <v>44676</v>
      </c>
      <c r="B357" s="2">
        <v>186.99</v>
      </c>
      <c r="C357" t="str">
        <f t="shared" si="5"/>
        <v/>
      </c>
      <c r="D357" s="5" t="str" cm="1">
        <f t="array" ref="D357">IF(C357="","",C357/LOOKUP(2,1/($C$1:C356&lt;&gt;""),$C$1:C356)-1)</f>
        <v/>
      </c>
    </row>
    <row r="358" spans="1:4" hidden="1" x14ac:dyDescent="0.25">
      <c r="A358" s="1">
        <v>44677</v>
      </c>
      <c r="B358" s="2">
        <v>180.95</v>
      </c>
      <c r="C358" t="str">
        <f t="shared" si="5"/>
        <v/>
      </c>
      <c r="D358" s="5" t="str" cm="1">
        <f t="array" ref="D358">IF(C358="","",C358/LOOKUP(2,1/($C$1:C357&lt;&gt;""),$C$1:C357)-1)</f>
        <v/>
      </c>
    </row>
    <row r="359" spans="1:4" hidden="1" x14ac:dyDescent="0.25">
      <c r="A359" s="1">
        <v>44678</v>
      </c>
      <c r="B359" s="2">
        <v>174.95</v>
      </c>
      <c r="C359" t="str">
        <f t="shared" si="5"/>
        <v/>
      </c>
      <c r="D359" s="5" t="str" cm="1">
        <f t="array" ref="D359">IF(C359="","",C359/LOOKUP(2,1/($C$1:C358&lt;&gt;""),$C$1:C358)-1)</f>
        <v/>
      </c>
    </row>
    <row r="360" spans="1:4" hidden="1" x14ac:dyDescent="0.25">
      <c r="A360" s="1">
        <v>44679</v>
      </c>
      <c r="B360" s="2">
        <v>205.73</v>
      </c>
      <c r="C360" t="str">
        <f t="shared" si="5"/>
        <v/>
      </c>
      <c r="D360" s="5" t="str" cm="1">
        <f t="array" ref="D360">IF(C360="","",C360/LOOKUP(2,1/($C$1:C359&lt;&gt;""),$C$1:C359)-1)</f>
        <v/>
      </c>
    </row>
    <row r="361" spans="1:4" x14ac:dyDescent="0.25">
      <c r="A361" s="1">
        <v>44680</v>
      </c>
      <c r="B361" s="2">
        <v>200.47</v>
      </c>
      <c r="C361">
        <f t="shared" si="5"/>
        <v>200.47</v>
      </c>
      <c r="D361" cm="1">
        <f t="array" ref="D361">IF(C361="","",C361/LOOKUP(2,1/($C$1:C360&lt;&gt;""),$C$1:C360)-1)</f>
        <v>8.8859920699581707E-2</v>
      </c>
    </row>
    <row r="362" spans="1:4" hidden="1" x14ac:dyDescent="0.25">
      <c r="A362" s="1">
        <v>44683</v>
      </c>
      <c r="B362" s="2">
        <v>211.13</v>
      </c>
      <c r="C362" t="str">
        <f t="shared" si="5"/>
        <v/>
      </c>
      <c r="D362" s="5" t="str" cm="1">
        <f t="array" ref="D362">IF(C362="","",C362/LOOKUP(2,1/($C$1:C361&lt;&gt;""),$C$1:C361)-1)</f>
        <v/>
      </c>
    </row>
    <row r="363" spans="1:4" hidden="1" x14ac:dyDescent="0.25">
      <c r="A363" s="1">
        <v>44684</v>
      </c>
      <c r="B363" s="2">
        <v>212.03</v>
      </c>
      <c r="C363" t="str">
        <f t="shared" si="5"/>
        <v/>
      </c>
      <c r="D363" s="5" t="str" cm="1">
        <f t="array" ref="D363">IF(C363="","",C363/LOOKUP(2,1/($C$1:C362&lt;&gt;""),$C$1:C362)-1)</f>
        <v/>
      </c>
    </row>
    <row r="364" spans="1:4" hidden="1" x14ac:dyDescent="0.25">
      <c r="A364" s="1">
        <v>44685</v>
      </c>
      <c r="B364" s="2">
        <v>223.41</v>
      </c>
      <c r="C364" t="str">
        <f t="shared" si="5"/>
        <v/>
      </c>
      <c r="D364" s="5" t="str" cm="1">
        <f t="array" ref="D364">IF(C364="","",C364/LOOKUP(2,1/($C$1:C363&lt;&gt;""),$C$1:C363)-1)</f>
        <v/>
      </c>
    </row>
    <row r="365" spans="1:4" hidden="1" x14ac:dyDescent="0.25">
      <c r="A365" s="1">
        <v>44686</v>
      </c>
      <c r="B365" s="2">
        <v>208.28</v>
      </c>
      <c r="C365" t="str">
        <f t="shared" si="5"/>
        <v/>
      </c>
      <c r="D365" s="5" t="str" cm="1">
        <f t="array" ref="D365">IF(C365="","",C365/LOOKUP(2,1/($C$1:C364&lt;&gt;""),$C$1:C364)-1)</f>
        <v/>
      </c>
    </row>
    <row r="366" spans="1:4" x14ac:dyDescent="0.25">
      <c r="A366" s="1">
        <v>44687</v>
      </c>
      <c r="B366" s="2">
        <v>203.77</v>
      </c>
      <c r="C366">
        <f t="shared" si="5"/>
        <v>203.77</v>
      </c>
      <c r="D366" cm="1">
        <f t="array" ref="D366">IF(C366="","",C366/LOOKUP(2,1/($C$1:C365&lt;&gt;""),$C$1:C365)-1)</f>
        <v>1.6461315907617236E-2</v>
      </c>
    </row>
    <row r="367" spans="1:4" hidden="1" x14ac:dyDescent="0.25">
      <c r="A367" s="1">
        <v>44690</v>
      </c>
      <c r="B367" s="2">
        <v>196.21</v>
      </c>
      <c r="C367" t="str">
        <f t="shared" si="5"/>
        <v/>
      </c>
      <c r="D367" s="5" t="str" cm="1">
        <f t="array" ref="D367">IF(C367="","",C367/LOOKUP(2,1/($C$1:C366&lt;&gt;""),$C$1:C366)-1)</f>
        <v/>
      </c>
    </row>
    <row r="368" spans="1:4" hidden="1" x14ac:dyDescent="0.25">
      <c r="A368" s="1">
        <v>44691</v>
      </c>
      <c r="B368" s="2">
        <v>197.65</v>
      </c>
      <c r="C368" t="str">
        <f t="shared" si="5"/>
        <v/>
      </c>
      <c r="D368" s="5" t="str" cm="1">
        <f t="array" ref="D368">IF(C368="","",C368/LOOKUP(2,1/($C$1:C367&lt;&gt;""),$C$1:C367)-1)</f>
        <v/>
      </c>
    </row>
    <row r="369" spans="1:4" hidden="1" x14ac:dyDescent="0.25">
      <c r="A369" s="1">
        <v>44692</v>
      </c>
      <c r="B369" s="2">
        <v>188.74</v>
      </c>
      <c r="C369" t="str">
        <f t="shared" si="5"/>
        <v/>
      </c>
      <c r="D369" s="5" t="str" cm="1">
        <f t="array" ref="D369">IF(C369="","",C369/LOOKUP(2,1/($C$1:C368&lt;&gt;""),$C$1:C368)-1)</f>
        <v/>
      </c>
    </row>
    <row r="370" spans="1:4" hidden="1" x14ac:dyDescent="0.25">
      <c r="A370" s="1">
        <v>44693</v>
      </c>
      <c r="B370" s="2">
        <v>191.24</v>
      </c>
      <c r="C370" t="str">
        <f t="shared" si="5"/>
        <v/>
      </c>
      <c r="D370" s="5" t="str" cm="1">
        <f t="array" ref="D370">IF(C370="","",C370/LOOKUP(2,1/($C$1:C369&lt;&gt;""),$C$1:C369)-1)</f>
        <v/>
      </c>
    </row>
    <row r="371" spans="1:4" x14ac:dyDescent="0.25">
      <c r="A371" s="1">
        <v>44694</v>
      </c>
      <c r="B371" s="2">
        <v>198.62</v>
      </c>
      <c r="C371">
        <f t="shared" si="5"/>
        <v>198.62</v>
      </c>
      <c r="D371" cm="1">
        <f t="array" ref="D371">IF(C371="","",C371/LOOKUP(2,1/($C$1:C370&lt;&gt;""),$C$1:C370)-1)</f>
        <v>-2.5273592776169251E-2</v>
      </c>
    </row>
    <row r="372" spans="1:4" hidden="1" x14ac:dyDescent="0.25">
      <c r="A372" s="1">
        <v>44697</v>
      </c>
      <c r="B372" s="2">
        <v>200.04</v>
      </c>
      <c r="C372" t="str">
        <f t="shared" si="5"/>
        <v/>
      </c>
      <c r="D372" s="5" t="str" cm="1">
        <f t="array" ref="D372">IF(C372="","",C372/LOOKUP(2,1/($C$1:C371&lt;&gt;""),$C$1:C371)-1)</f>
        <v/>
      </c>
    </row>
    <row r="373" spans="1:4" hidden="1" x14ac:dyDescent="0.25">
      <c r="A373" s="1">
        <v>44698</v>
      </c>
      <c r="B373" s="2">
        <v>202.62</v>
      </c>
      <c r="C373" t="str">
        <f t="shared" si="5"/>
        <v/>
      </c>
      <c r="D373" s="5" t="str" cm="1">
        <f t="array" ref="D373">IF(C373="","",C373/LOOKUP(2,1/($C$1:C372&lt;&gt;""),$C$1:C372)-1)</f>
        <v/>
      </c>
    </row>
    <row r="374" spans="1:4" hidden="1" x14ac:dyDescent="0.25">
      <c r="A374" s="1">
        <v>44699</v>
      </c>
      <c r="B374" s="2">
        <v>192.24</v>
      </c>
      <c r="C374" t="str">
        <f t="shared" si="5"/>
        <v/>
      </c>
      <c r="D374" s="5" t="str" cm="1">
        <f t="array" ref="D374">IF(C374="","",C374/LOOKUP(2,1/($C$1:C373&lt;&gt;""),$C$1:C373)-1)</f>
        <v/>
      </c>
    </row>
    <row r="375" spans="1:4" hidden="1" x14ac:dyDescent="0.25">
      <c r="A375" s="1">
        <v>44700</v>
      </c>
      <c r="B375" s="2">
        <v>191.29</v>
      </c>
      <c r="C375" t="str">
        <f t="shared" si="5"/>
        <v/>
      </c>
      <c r="D375" s="5" t="str" cm="1">
        <f t="array" ref="D375">IF(C375="","",C375/LOOKUP(2,1/($C$1:C374&lt;&gt;""),$C$1:C374)-1)</f>
        <v/>
      </c>
    </row>
    <row r="376" spans="1:4" x14ac:dyDescent="0.25">
      <c r="A376" s="1">
        <v>44701</v>
      </c>
      <c r="B376" s="2">
        <v>193.54</v>
      </c>
      <c r="C376">
        <f t="shared" si="5"/>
        <v>193.54</v>
      </c>
      <c r="D376" cm="1">
        <f t="array" ref="D376">IF(C376="","",C376/LOOKUP(2,1/($C$1:C375&lt;&gt;""),$C$1:C375)-1)</f>
        <v>-2.5576477696103161E-2</v>
      </c>
    </row>
    <row r="377" spans="1:4" hidden="1" x14ac:dyDescent="0.25">
      <c r="A377" s="1">
        <v>44704</v>
      </c>
      <c r="B377" s="2">
        <v>196.23</v>
      </c>
      <c r="C377" t="str">
        <f t="shared" si="5"/>
        <v/>
      </c>
      <c r="D377" s="5" t="str" cm="1">
        <f t="array" ref="D377">IF(C377="","",C377/LOOKUP(2,1/($C$1:C376&lt;&gt;""),$C$1:C376)-1)</f>
        <v/>
      </c>
    </row>
    <row r="378" spans="1:4" hidden="1" x14ac:dyDescent="0.25">
      <c r="A378" s="1">
        <v>44705</v>
      </c>
      <c r="B378" s="2">
        <v>181.28</v>
      </c>
      <c r="C378" t="str">
        <f t="shared" si="5"/>
        <v/>
      </c>
      <c r="D378" s="5" t="str" cm="1">
        <f t="array" ref="D378">IF(C378="","",C378/LOOKUP(2,1/($C$1:C377&lt;&gt;""),$C$1:C377)-1)</f>
        <v/>
      </c>
    </row>
    <row r="379" spans="1:4" hidden="1" x14ac:dyDescent="0.25">
      <c r="A379" s="1">
        <v>44706</v>
      </c>
      <c r="B379" s="2">
        <v>183.83</v>
      </c>
      <c r="C379" t="str">
        <f t="shared" si="5"/>
        <v/>
      </c>
      <c r="D379" s="5" t="str" cm="1">
        <f t="array" ref="D379">IF(C379="","",C379/LOOKUP(2,1/($C$1:C378&lt;&gt;""),$C$1:C378)-1)</f>
        <v/>
      </c>
    </row>
    <row r="380" spans="1:4" hidden="1" x14ac:dyDescent="0.25">
      <c r="A380" s="1">
        <v>44707</v>
      </c>
      <c r="B380" s="2">
        <v>191.63</v>
      </c>
      <c r="C380" t="str">
        <f t="shared" si="5"/>
        <v/>
      </c>
      <c r="D380" s="5" t="str" cm="1">
        <f t="array" ref="D380">IF(C380="","",C380/LOOKUP(2,1/($C$1:C379&lt;&gt;""),$C$1:C379)-1)</f>
        <v/>
      </c>
    </row>
    <row r="381" spans="1:4" x14ac:dyDescent="0.25">
      <c r="A381" s="1">
        <v>44708</v>
      </c>
      <c r="B381" s="2">
        <v>195.13</v>
      </c>
      <c r="C381">
        <f t="shared" si="5"/>
        <v>195.13</v>
      </c>
      <c r="D381" cm="1">
        <f t="array" ref="D381">IF(C381="","",C381/LOOKUP(2,1/($C$1:C380&lt;&gt;""),$C$1:C380)-1)</f>
        <v>8.2153559987598879E-3</v>
      </c>
    </row>
    <row r="382" spans="1:4" hidden="1" x14ac:dyDescent="0.25">
      <c r="A382" s="1">
        <v>44712</v>
      </c>
      <c r="B382" s="2">
        <v>193.64</v>
      </c>
      <c r="C382" t="str">
        <f t="shared" si="5"/>
        <v/>
      </c>
      <c r="D382" s="5" t="str" cm="1">
        <f t="array" ref="D382">IF(C382="","",C382/LOOKUP(2,1/($C$1:C381&lt;&gt;""),$C$1:C381)-1)</f>
        <v/>
      </c>
    </row>
    <row r="383" spans="1:4" hidden="1" x14ac:dyDescent="0.25">
      <c r="A383" s="1">
        <v>44713</v>
      </c>
      <c r="B383" s="2">
        <v>188.64</v>
      </c>
      <c r="C383" t="str">
        <f t="shared" si="5"/>
        <v/>
      </c>
      <c r="D383" s="5" t="str" cm="1">
        <f t="array" ref="D383">IF(C383="","",C383/LOOKUP(2,1/($C$1:C382&lt;&gt;""),$C$1:C382)-1)</f>
        <v/>
      </c>
    </row>
    <row r="384" spans="1:4" hidden="1" x14ac:dyDescent="0.25">
      <c r="A384" s="1">
        <v>44714</v>
      </c>
      <c r="B384" s="2">
        <v>198.86</v>
      </c>
      <c r="C384" t="str">
        <f t="shared" si="5"/>
        <v/>
      </c>
      <c r="D384" s="5" t="str" cm="1">
        <f t="array" ref="D384">IF(C384="","",C384/LOOKUP(2,1/($C$1:C383&lt;&gt;""),$C$1:C383)-1)</f>
        <v/>
      </c>
    </row>
    <row r="385" spans="1:4" x14ac:dyDescent="0.25">
      <c r="A385" s="1">
        <v>44715</v>
      </c>
      <c r="B385" s="2">
        <v>190.78</v>
      </c>
      <c r="C385">
        <f t="shared" si="5"/>
        <v>190.78</v>
      </c>
      <c r="D385" cm="1">
        <f t="array" ref="D385">IF(C385="","",C385/LOOKUP(2,1/($C$1:C384&lt;&gt;""),$C$1:C384)-1)</f>
        <v>-2.2292830420745147E-2</v>
      </c>
    </row>
    <row r="386" spans="1:4" hidden="1" x14ac:dyDescent="0.25">
      <c r="A386" s="1">
        <v>44718</v>
      </c>
      <c r="B386" s="2">
        <v>194.25</v>
      </c>
      <c r="C386" t="str">
        <f t="shared" si="5"/>
        <v/>
      </c>
      <c r="D386" s="5" t="str" cm="1">
        <f t="array" ref="D386">IF(C386="","",C386/LOOKUP(2,1/($C$1:C385&lt;&gt;""),$C$1:C385)-1)</f>
        <v/>
      </c>
    </row>
    <row r="387" spans="1:4" hidden="1" x14ac:dyDescent="0.25">
      <c r="A387" s="1">
        <v>44719</v>
      </c>
      <c r="B387" s="2">
        <v>195.65</v>
      </c>
      <c r="C387" t="str">
        <f t="shared" ref="C387:C450" si="6">IF(WEEKNUM(A387)&lt;&gt;WEEKNUM(A388),B387,"")</f>
        <v/>
      </c>
      <c r="D387" s="5" t="str" cm="1">
        <f t="array" ref="D387">IF(C387="","",C387/LOOKUP(2,1/($C$1:C386&lt;&gt;""),$C$1:C386)-1)</f>
        <v/>
      </c>
    </row>
    <row r="388" spans="1:4" hidden="1" x14ac:dyDescent="0.25">
      <c r="A388" s="1">
        <v>44720</v>
      </c>
      <c r="B388" s="2">
        <v>196.64</v>
      </c>
      <c r="C388" t="str">
        <f t="shared" si="6"/>
        <v/>
      </c>
      <c r="D388" s="5" t="str" cm="1">
        <f t="array" ref="D388">IF(C388="","",C388/LOOKUP(2,1/($C$1:C387&lt;&gt;""),$C$1:C387)-1)</f>
        <v/>
      </c>
    </row>
    <row r="389" spans="1:4" hidden="1" x14ac:dyDescent="0.25">
      <c r="A389" s="1">
        <v>44721</v>
      </c>
      <c r="B389" s="2">
        <v>184</v>
      </c>
      <c r="C389" t="str">
        <f t="shared" si="6"/>
        <v/>
      </c>
      <c r="D389" s="5" t="str" cm="1">
        <f t="array" ref="D389">IF(C389="","",C389/LOOKUP(2,1/($C$1:C388&lt;&gt;""),$C$1:C388)-1)</f>
        <v/>
      </c>
    </row>
    <row r="390" spans="1:4" x14ac:dyDescent="0.25">
      <c r="A390" s="1">
        <v>44722</v>
      </c>
      <c r="B390" s="2">
        <v>175.57</v>
      </c>
      <c r="C390">
        <f t="shared" si="6"/>
        <v>175.57</v>
      </c>
      <c r="D390" cm="1">
        <f t="array" ref="D390">IF(C390="","",C390/LOOKUP(2,1/($C$1:C389&lt;&gt;""),$C$1:C389)-1)</f>
        <v>-7.9725338085753217E-2</v>
      </c>
    </row>
    <row r="391" spans="1:4" hidden="1" x14ac:dyDescent="0.25">
      <c r="A391" s="1">
        <v>44725</v>
      </c>
      <c r="B391" s="2">
        <v>164.26</v>
      </c>
      <c r="C391" t="str">
        <f t="shared" si="6"/>
        <v/>
      </c>
      <c r="D391" s="5" t="str" cm="1">
        <f t="array" ref="D391">IF(C391="","",C391/LOOKUP(2,1/($C$1:C390&lt;&gt;""),$C$1:C390)-1)</f>
        <v/>
      </c>
    </row>
    <row r="392" spans="1:4" hidden="1" x14ac:dyDescent="0.25">
      <c r="A392" s="1">
        <v>44726</v>
      </c>
      <c r="B392" s="2">
        <v>163.72999999999999</v>
      </c>
      <c r="C392" t="str">
        <f t="shared" si="6"/>
        <v/>
      </c>
      <c r="D392" s="5" t="str" cm="1">
        <f t="array" ref="D392">IF(C392="","",C392/LOOKUP(2,1/($C$1:C391&lt;&gt;""),$C$1:C391)-1)</f>
        <v/>
      </c>
    </row>
    <row r="393" spans="1:4" hidden="1" x14ac:dyDescent="0.25">
      <c r="A393" s="1">
        <v>44727</v>
      </c>
      <c r="B393" s="2">
        <v>169.35</v>
      </c>
      <c r="C393" t="str">
        <f t="shared" si="6"/>
        <v/>
      </c>
      <c r="D393" s="5" t="str" cm="1">
        <f t="array" ref="D393">IF(C393="","",C393/LOOKUP(2,1/($C$1:C392&lt;&gt;""),$C$1:C392)-1)</f>
        <v/>
      </c>
    </row>
    <row r="394" spans="1:4" hidden="1" x14ac:dyDescent="0.25">
      <c r="A394" s="1">
        <v>44728</v>
      </c>
      <c r="B394" s="2">
        <v>160.87</v>
      </c>
      <c r="C394" t="str">
        <f t="shared" si="6"/>
        <v/>
      </c>
      <c r="D394" s="5" t="str" cm="1">
        <f t="array" ref="D394">IF(C394="","",C394/LOOKUP(2,1/($C$1:C393&lt;&gt;""),$C$1:C393)-1)</f>
        <v/>
      </c>
    </row>
    <row r="395" spans="1:4" x14ac:dyDescent="0.25">
      <c r="A395" s="1">
        <v>44729</v>
      </c>
      <c r="B395" s="2">
        <v>163.74</v>
      </c>
      <c r="C395">
        <f t="shared" si="6"/>
        <v>163.74</v>
      </c>
      <c r="D395" cm="1">
        <f t="array" ref="D395">IF(C395="","",C395/LOOKUP(2,1/($C$1:C394&lt;&gt;""),$C$1:C394)-1)</f>
        <v>-6.7380531981545699E-2</v>
      </c>
    </row>
    <row r="396" spans="1:4" hidden="1" x14ac:dyDescent="0.25">
      <c r="A396" s="1">
        <v>44733</v>
      </c>
      <c r="B396" s="2">
        <v>157.05000000000001</v>
      </c>
      <c r="C396" t="str">
        <f t="shared" si="6"/>
        <v/>
      </c>
      <c r="D396" s="5" t="str" cm="1">
        <f t="array" ref="D396">IF(C396="","",C396/LOOKUP(2,1/($C$1:C395&lt;&gt;""),$C$1:C395)-1)</f>
        <v/>
      </c>
    </row>
    <row r="397" spans="1:4" hidden="1" x14ac:dyDescent="0.25">
      <c r="A397" s="1">
        <v>44734</v>
      </c>
      <c r="B397" s="2">
        <v>155.85</v>
      </c>
      <c r="C397" t="str">
        <f t="shared" si="6"/>
        <v/>
      </c>
      <c r="D397" s="5" t="str" cm="1">
        <f t="array" ref="D397">IF(C397="","",C397/LOOKUP(2,1/($C$1:C396&lt;&gt;""),$C$1:C396)-1)</f>
        <v/>
      </c>
    </row>
    <row r="398" spans="1:4" hidden="1" x14ac:dyDescent="0.25">
      <c r="A398" s="1">
        <v>44735</v>
      </c>
      <c r="B398" s="2">
        <v>158.75</v>
      </c>
      <c r="C398" t="str">
        <f t="shared" si="6"/>
        <v/>
      </c>
      <c r="D398" s="5" t="str" cm="1">
        <f t="array" ref="D398">IF(C398="","",C398/LOOKUP(2,1/($C$1:C397&lt;&gt;""),$C$1:C397)-1)</f>
        <v/>
      </c>
    </row>
    <row r="399" spans="1:4" x14ac:dyDescent="0.25">
      <c r="A399" s="1">
        <v>44736</v>
      </c>
      <c r="B399" s="2">
        <v>170.16</v>
      </c>
      <c r="C399">
        <f t="shared" si="6"/>
        <v>170.16</v>
      </c>
      <c r="D399" cm="1">
        <f t="array" ref="D399">IF(C399="","",C399/LOOKUP(2,1/($C$1:C398&lt;&gt;""),$C$1:C398)-1)</f>
        <v>3.9208501282520958E-2</v>
      </c>
    </row>
    <row r="400" spans="1:4" hidden="1" x14ac:dyDescent="0.25">
      <c r="A400" s="1">
        <v>44739</v>
      </c>
      <c r="B400" s="2">
        <v>169.49</v>
      </c>
      <c r="C400" t="str">
        <f t="shared" si="6"/>
        <v/>
      </c>
      <c r="D400" s="5" t="str" cm="1">
        <f t="array" ref="D400">IF(C400="","",C400/LOOKUP(2,1/($C$1:C399&lt;&gt;""),$C$1:C399)-1)</f>
        <v/>
      </c>
    </row>
    <row r="401" spans="1:4" hidden="1" x14ac:dyDescent="0.25">
      <c r="A401" s="1">
        <v>44740</v>
      </c>
      <c r="B401" s="2">
        <v>160.68</v>
      </c>
      <c r="C401" t="str">
        <f t="shared" si="6"/>
        <v/>
      </c>
      <c r="D401" s="5" t="str" cm="1">
        <f t="array" ref="D401">IF(C401="","",C401/LOOKUP(2,1/($C$1:C400&lt;&gt;""),$C$1:C400)-1)</f>
        <v/>
      </c>
    </row>
    <row r="402" spans="1:4" hidden="1" x14ac:dyDescent="0.25">
      <c r="A402" s="1">
        <v>44741</v>
      </c>
      <c r="B402" s="2">
        <v>163.94</v>
      </c>
      <c r="C402" t="str">
        <f t="shared" si="6"/>
        <v/>
      </c>
      <c r="D402" s="5" t="str" cm="1">
        <f t="array" ref="D402">IF(C402="","",C402/LOOKUP(2,1/($C$1:C401&lt;&gt;""),$C$1:C401)-1)</f>
        <v/>
      </c>
    </row>
    <row r="403" spans="1:4" hidden="1" x14ac:dyDescent="0.25">
      <c r="A403" s="1">
        <v>44742</v>
      </c>
      <c r="B403" s="2">
        <v>161.25</v>
      </c>
      <c r="C403" t="str">
        <f t="shared" si="6"/>
        <v/>
      </c>
      <c r="D403" s="5" t="str" cm="1">
        <f t="array" ref="D403">IF(C403="","",C403/LOOKUP(2,1/($C$1:C402&lt;&gt;""),$C$1:C402)-1)</f>
        <v/>
      </c>
    </row>
    <row r="404" spans="1:4" x14ac:dyDescent="0.25">
      <c r="A404" s="1">
        <v>44743</v>
      </c>
      <c r="B404" s="2">
        <v>160.03</v>
      </c>
      <c r="C404">
        <f t="shared" si="6"/>
        <v>160.03</v>
      </c>
      <c r="D404" cm="1">
        <f t="array" ref="D404">IF(C404="","",C404/LOOKUP(2,1/($C$1:C403&lt;&gt;""),$C$1:C403)-1)</f>
        <v>-5.9532204983544834E-2</v>
      </c>
    </row>
    <row r="405" spans="1:4" hidden="1" x14ac:dyDescent="0.25">
      <c r="A405" s="1">
        <v>44747</v>
      </c>
      <c r="B405" s="2">
        <v>168.19</v>
      </c>
      <c r="C405" t="str">
        <f t="shared" si="6"/>
        <v/>
      </c>
      <c r="D405" s="5" t="str" cm="1">
        <f t="array" ref="D405">IF(C405="","",C405/LOOKUP(2,1/($C$1:C404&lt;&gt;""),$C$1:C404)-1)</f>
        <v/>
      </c>
    </row>
    <row r="406" spans="1:4" hidden="1" x14ac:dyDescent="0.25">
      <c r="A406" s="1">
        <v>44748</v>
      </c>
      <c r="B406" s="2">
        <v>169.77</v>
      </c>
      <c r="C406" t="str">
        <f t="shared" si="6"/>
        <v/>
      </c>
      <c r="D406" s="5" t="str" cm="1">
        <f t="array" ref="D406">IF(C406="","",C406/LOOKUP(2,1/($C$1:C405&lt;&gt;""),$C$1:C405)-1)</f>
        <v/>
      </c>
    </row>
    <row r="407" spans="1:4" hidden="1" x14ac:dyDescent="0.25">
      <c r="A407" s="1">
        <v>44749</v>
      </c>
      <c r="B407" s="2">
        <v>172.19</v>
      </c>
      <c r="C407" t="str">
        <f t="shared" si="6"/>
        <v/>
      </c>
      <c r="D407" s="5" t="str" cm="1">
        <f t="array" ref="D407">IF(C407="","",C407/LOOKUP(2,1/($C$1:C406&lt;&gt;""),$C$1:C406)-1)</f>
        <v/>
      </c>
    </row>
    <row r="408" spans="1:4" x14ac:dyDescent="0.25">
      <c r="A408" s="1">
        <v>44750</v>
      </c>
      <c r="B408" s="2">
        <v>170.88</v>
      </c>
      <c r="C408">
        <f t="shared" si="6"/>
        <v>170.88</v>
      </c>
      <c r="D408" cm="1">
        <f t="array" ref="D408">IF(C408="","",C408/LOOKUP(2,1/($C$1:C407&lt;&gt;""),$C$1:C407)-1)</f>
        <v>6.7799787539836176E-2</v>
      </c>
    </row>
    <row r="409" spans="1:4" hidden="1" x14ac:dyDescent="0.25">
      <c r="A409" s="1">
        <v>44753</v>
      </c>
      <c r="B409" s="2">
        <v>162.88</v>
      </c>
      <c r="C409" t="str">
        <f t="shared" si="6"/>
        <v/>
      </c>
      <c r="D409" s="5" t="str" cm="1">
        <f t="array" ref="D409">IF(C409="","",C409/LOOKUP(2,1/($C$1:C408&lt;&gt;""),$C$1:C408)-1)</f>
        <v/>
      </c>
    </row>
    <row r="410" spans="1:4" hidden="1" x14ac:dyDescent="0.25">
      <c r="A410" s="1">
        <v>44754</v>
      </c>
      <c r="B410" s="2">
        <v>163.27000000000001</v>
      </c>
      <c r="C410" t="str">
        <f t="shared" si="6"/>
        <v/>
      </c>
      <c r="D410" s="5" t="str" cm="1">
        <f t="array" ref="D410">IF(C410="","",C410/LOOKUP(2,1/($C$1:C409&lt;&gt;""),$C$1:C409)-1)</f>
        <v/>
      </c>
    </row>
    <row r="411" spans="1:4" hidden="1" x14ac:dyDescent="0.25">
      <c r="A411" s="1">
        <v>44755</v>
      </c>
      <c r="B411" s="2">
        <v>163.49</v>
      </c>
      <c r="C411" t="str">
        <f t="shared" si="6"/>
        <v/>
      </c>
      <c r="D411" s="5" t="str" cm="1">
        <f t="array" ref="D411">IF(C411="","",C411/LOOKUP(2,1/($C$1:C410&lt;&gt;""),$C$1:C410)-1)</f>
        <v/>
      </c>
    </row>
    <row r="412" spans="1:4" hidden="1" x14ac:dyDescent="0.25">
      <c r="A412" s="1">
        <v>44756</v>
      </c>
      <c r="B412" s="2">
        <v>158.05000000000001</v>
      </c>
      <c r="C412" t="str">
        <f t="shared" si="6"/>
        <v/>
      </c>
      <c r="D412" s="5" t="str" cm="1">
        <f t="array" ref="D412">IF(C412="","",C412/LOOKUP(2,1/($C$1:C411&lt;&gt;""),$C$1:C411)-1)</f>
        <v/>
      </c>
    </row>
    <row r="413" spans="1:4" x14ac:dyDescent="0.25">
      <c r="A413" s="1">
        <v>44757</v>
      </c>
      <c r="B413" s="2">
        <v>164.7</v>
      </c>
      <c r="C413">
        <f t="shared" si="6"/>
        <v>164.7</v>
      </c>
      <c r="D413" cm="1">
        <f t="array" ref="D413">IF(C413="","",C413/LOOKUP(2,1/($C$1:C412&lt;&gt;""),$C$1:C412)-1)</f>
        <v>-3.6165730337078705E-2</v>
      </c>
    </row>
    <row r="414" spans="1:4" hidden="1" x14ac:dyDescent="0.25">
      <c r="A414" s="1">
        <v>44760</v>
      </c>
      <c r="B414" s="2">
        <v>167.23</v>
      </c>
      <c r="C414" t="str">
        <f t="shared" si="6"/>
        <v/>
      </c>
      <c r="D414" s="5" t="str" cm="1">
        <f t="array" ref="D414">IF(C414="","",C414/LOOKUP(2,1/($C$1:C413&lt;&gt;""),$C$1:C413)-1)</f>
        <v/>
      </c>
    </row>
    <row r="415" spans="1:4" hidden="1" x14ac:dyDescent="0.25">
      <c r="A415" s="1">
        <v>44761</v>
      </c>
      <c r="B415" s="2">
        <v>175.78</v>
      </c>
      <c r="C415" t="str">
        <f t="shared" si="6"/>
        <v/>
      </c>
      <c r="D415" s="5" t="str" cm="1">
        <f t="array" ref="D415">IF(C415="","",C415/LOOKUP(2,1/($C$1:C414&lt;&gt;""),$C$1:C414)-1)</f>
        <v/>
      </c>
    </row>
    <row r="416" spans="1:4" hidden="1" x14ac:dyDescent="0.25">
      <c r="A416" s="1">
        <v>44762</v>
      </c>
      <c r="B416" s="2">
        <v>183.09</v>
      </c>
      <c r="C416" t="str">
        <f t="shared" si="6"/>
        <v/>
      </c>
      <c r="D416" s="5" t="str" cm="1">
        <f t="array" ref="D416">IF(C416="","",C416/LOOKUP(2,1/($C$1:C415&lt;&gt;""),$C$1:C415)-1)</f>
        <v/>
      </c>
    </row>
    <row r="417" spans="1:4" hidden="1" x14ac:dyDescent="0.25">
      <c r="A417" s="1">
        <v>44763</v>
      </c>
      <c r="B417" s="2">
        <v>183.17</v>
      </c>
      <c r="C417" t="str">
        <f t="shared" si="6"/>
        <v/>
      </c>
      <c r="D417" s="5" t="str" cm="1">
        <f t="array" ref="D417">IF(C417="","",C417/LOOKUP(2,1/($C$1:C416&lt;&gt;""),$C$1:C416)-1)</f>
        <v/>
      </c>
    </row>
    <row r="418" spans="1:4" x14ac:dyDescent="0.25">
      <c r="A418" s="1">
        <v>44764</v>
      </c>
      <c r="B418" s="2">
        <v>169.27</v>
      </c>
      <c r="C418">
        <f t="shared" si="6"/>
        <v>169.27</v>
      </c>
      <c r="D418" cm="1">
        <f t="array" ref="D418">IF(C418="","",C418/LOOKUP(2,1/($C$1:C417&lt;&gt;""),$C$1:C417)-1)</f>
        <v>2.7747419550698371E-2</v>
      </c>
    </row>
    <row r="419" spans="1:4" hidden="1" x14ac:dyDescent="0.25">
      <c r="A419" s="1">
        <v>44767</v>
      </c>
      <c r="B419" s="2">
        <v>166.65</v>
      </c>
      <c r="C419" t="str">
        <f t="shared" si="6"/>
        <v/>
      </c>
      <c r="D419" s="5" t="str" cm="1">
        <f t="array" ref="D419">IF(C419="","",C419/LOOKUP(2,1/($C$1:C418&lt;&gt;""),$C$1:C418)-1)</f>
        <v/>
      </c>
    </row>
    <row r="420" spans="1:4" hidden="1" x14ac:dyDescent="0.25">
      <c r="A420" s="1">
        <v>44768</v>
      </c>
      <c r="B420" s="2">
        <v>159.15</v>
      </c>
      <c r="C420" t="str">
        <f t="shared" si="6"/>
        <v/>
      </c>
      <c r="D420" s="5" t="str" cm="1">
        <f t="array" ref="D420">IF(C420="","",C420/LOOKUP(2,1/($C$1:C419&lt;&gt;""),$C$1:C419)-1)</f>
        <v/>
      </c>
    </row>
    <row r="421" spans="1:4" hidden="1" x14ac:dyDescent="0.25">
      <c r="A421" s="1">
        <v>44769</v>
      </c>
      <c r="B421" s="2">
        <v>169.58</v>
      </c>
      <c r="C421" t="str">
        <f t="shared" si="6"/>
        <v/>
      </c>
      <c r="D421" s="5" t="str" cm="1">
        <f t="array" ref="D421">IF(C421="","",C421/LOOKUP(2,1/($C$1:C420&lt;&gt;""),$C$1:C420)-1)</f>
        <v/>
      </c>
    </row>
    <row r="422" spans="1:4" hidden="1" x14ac:dyDescent="0.25">
      <c r="A422" s="1">
        <v>44770</v>
      </c>
      <c r="B422" s="2">
        <v>160.72</v>
      </c>
      <c r="C422" t="str">
        <f t="shared" si="6"/>
        <v/>
      </c>
      <c r="D422" s="5" t="str" cm="1">
        <f t="array" ref="D422">IF(C422="","",C422/LOOKUP(2,1/($C$1:C421&lt;&gt;""),$C$1:C421)-1)</f>
        <v/>
      </c>
    </row>
    <row r="423" spans="1:4" x14ac:dyDescent="0.25">
      <c r="A423" s="1">
        <v>44771</v>
      </c>
      <c r="B423" s="2">
        <v>159.1</v>
      </c>
      <c r="C423">
        <f t="shared" si="6"/>
        <v>159.1</v>
      </c>
      <c r="D423" cm="1">
        <f t="array" ref="D423">IF(C423="","",C423/LOOKUP(2,1/($C$1:C422&lt;&gt;""),$C$1:C422)-1)</f>
        <v>-6.0081526555207709E-2</v>
      </c>
    </row>
    <row r="424" spans="1:4" hidden="1" x14ac:dyDescent="0.25">
      <c r="A424" s="1">
        <v>44774</v>
      </c>
      <c r="B424" s="2">
        <v>159.93</v>
      </c>
      <c r="C424" t="str">
        <f t="shared" si="6"/>
        <v/>
      </c>
      <c r="D424" s="5" t="str" cm="1">
        <f t="array" ref="D424">IF(C424="","",C424/LOOKUP(2,1/($C$1:C423&lt;&gt;""),$C$1:C423)-1)</f>
        <v/>
      </c>
    </row>
    <row r="425" spans="1:4" hidden="1" x14ac:dyDescent="0.25">
      <c r="A425" s="1">
        <v>44775</v>
      </c>
      <c r="B425" s="2">
        <v>160.19</v>
      </c>
      <c r="C425" t="str">
        <f t="shared" si="6"/>
        <v/>
      </c>
      <c r="D425" s="5" t="str" cm="1">
        <f t="array" ref="D425">IF(C425="","",C425/LOOKUP(2,1/($C$1:C424&lt;&gt;""),$C$1:C424)-1)</f>
        <v/>
      </c>
    </row>
    <row r="426" spans="1:4" hidden="1" x14ac:dyDescent="0.25">
      <c r="A426" s="1">
        <v>44776</v>
      </c>
      <c r="B426" s="2">
        <v>168.8</v>
      </c>
      <c r="C426" t="str">
        <f t="shared" si="6"/>
        <v/>
      </c>
      <c r="D426" s="5" t="str" cm="1">
        <f t="array" ref="D426">IF(C426="","",C426/LOOKUP(2,1/($C$1:C425&lt;&gt;""),$C$1:C425)-1)</f>
        <v/>
      </c>
    </row>
    <row r="427" spans="1:4" hidden="1" x14ac:dyDescent="0.25">
      <c r="A427" s="1">
        <v>44777</v>
      </c>
      <c r="B427" s="2">
        <v>170.57</v>
      </c>
      <c r="C427" t="str">
        <f t="shared" si="6"/>
        <v/>
      </c>
      <c r="D427" s="5" t="str" cm="1">
        <f t="array" ref="D427">IF(C427="","",C427/LOOKUP(2,1/($C$1:C426&lt;&gt;""),$C$1:C426)-1)</f>
        <v/>
      </c>
    </row>
    <row r="428" spans="1:4" x14ac:dyDescent="0.25">
      <c r="A428" s="1">
        <v>44778</v>
      </c>
      <c r="B428" s="2">
        <v>167.11</v>
      </c>
      <c r="C428">
        <f t="shared" si="6"/>
        <v>167.11</v>
      </c>
      <c r="D428" cm="1">
        <f t="array" ref="D428">IF(C428="","",C428/LOOKUP(2,1/($C$1:C427&lt;&gt;""),$C$1:C427)-1)</f>
        <v>5.0345694531741092E-2</v>
      </c>
    </row>
    <row r="429" spans="1:4" hidden="1" x14ac:dyDescent="0.25">
      <c r="A429" s="1">
        <v>44781</v>
      </c>
      <c r="B429" s="2">
        <v>170.25</v>
      </c>
      <c r="C429" t="str">
        <f t="shared" si="6"/>
        <v/>
      </c>
      <c r="D429" s="5" t="str" cm="1">
        <f t="array" ref="D429">IF(C429="","",C429/LOOKUP(2,1/($C$1:C428&lt;&gt;""),$C$1:C428)-1)</f>
        <v/>
      </c>
    </row>
    <row r="430" spans="1:4" hidden="1" x14ac:dyDescent="0.25">
      <c r="A430" s="1">
        <v>44782</v>
      </c>
      <c r="B430" s="2">
        <v>168.53</v>
      </c>
      <c r="C430" t="str">
        <f t="shared" si="6"/>
        <v/>
      </c>
      <c r="D430" s="5" t="str" cm="1">
        <f t="array" ref="D430">IF(C430="","",C430/LOOKUP(2,1/($C$1:C429&lt;&gt;""),$C$1:C429)-1)</f>
        <v/>
      </c>
    </row>
    <row r="431" spans="1:4" hidden="1" x14ac:dyDescent="0.25">
      <c r="A431" s="1">
        <v>44783</v>
      </c>
      <c r="B431" s="2">
        <v>178.34</v>
      </c>
      <c r="C431" t="str">
        <f t="shared" si="6"/>
        <v/>
      </c>
      <c r="D431" s="5" t="str" cm="1">
        <f t="array" ref="D431">IF(C431="","",C431/LOOKUP(2,1/($C$1:C430&lt;&gt;""),$C$1:C430)-1)</f>
        <v/>
      </c>
    </row>
    <row r="432" spans="1:4" hidden="1" x14ac:dyDescent="0.25">
      <c r="A432" s="1">
        <v>44784</v>
      </c>
      <c r="B432" s="2">
        <v>177.49</v>
      </c>
      <c r="C432" t="str">
        <f t="shared" si="6"/>
        <v/>
      </c>
      <c r="D432" s="5" t="str" cm="1">
        <f t="array" ref="D432">IF(C432="","",C432/LOOKUP(2,1/($C$1:C431&lt;&gt;""),$C$1:C431)-1)</f>
        <v/>
      </c>
    </row>
    <row r="433" spans="1:4" x14ac:dyDescent="0.25">
      <c r="A433" s="1">
        <v>44785</v>
      </c>
      <c r="B433" s="2">
        <v>180.5</v>
      </c>
      <c r="C433">
        <f t="shared" si="6"/>
        <v>180.5</v>
      </c>
      <c r="D433" cm="1">
        <f t="array" ref="D433">IF(C433="","",C433/LOOKUP(2,1/($C$1:C432&lt;&gt;""),$C$1:C432)-1)</f>
        <v>8.0126862545628619E-2</v>
      </c>
    </row>
    <row r="434" spans="1:4" hidden="1" x14ac:dyDescent="0.25">
      <c r="A434" s="1">
        <v>44788</v>
      </c>
      <c r="B434" s="2">
        <v>180.89</v>
      </c>
      <c r="C434" t="str">
        <f t="shared" si="6"/>
        <v/>
      </c>
      <c r="D434" s="5" t="str" cm="1">
        <f t="array" ref="D434">IF(C434="","",C434/LOOKUP(2,1/($C$1:C433&lt;&gt;""),$C$1:C433)-1)</f>
        <v/>
      </c>
    </row>
    <row r="435" spans="1:4" hidden="1" x14ac:dyDescent="0.25">
      <c r="A435" s="1">
        <v>44789</v>
      </c>
      <c r="B435" s="2">
        <v>179.47</v>
      </c>
      <c r="C435" t="str">
        <f t="shared" si="6"/>
        <v/>
      </c>
      <c r="D435" s="5" t="str" cm="1">
        <f t="array" ref="D435">IF(C435="","",C435/LOOKUP(2,1/($C$1:C434&lt;&gt;""),$C$1:C434)-1)</f>
        <v/>
      </c>
    </row>
    <row r="436" spans="1:4" hidden="1" x14ac:dyDescent="0.25">
      <c r="A436" s="1">
        <v>44790</v>
      </c>
      <c r="B436" s="2">
        <v>174.85</v>
      </c>
      <c r="C436" t="str">
        <f t="shared" si="6"/>
        <v/>
      </c>
      <c r="D436" s="5" t="str" cm="1">
        <f t="array" ref="D436">IF(C436="","",C436/LOOKUP(2,1/($C$1:C435&lt;&gt;""),$C$1:C435)-1)</f>
        <v/>
      </c>
    </row>
    <row r="437" spans="1:4" hidden="1" x14ac:dyDescent="0.25">
      <c r="A437" s="1">
        <v>44791</v>
      </c>
      <c r="B437" s="2">
        <v>174.66</v>
      </c>
      <c r="C437" t="str">
        <f t="shared" si="6"/>
        <v/>
      </c>
      <c r="D437" s="5" t="str" cm="1">
        <f t="array" ref="D437">IF(C437="","",C437/LOOKUP(2,1/($C$1:C436&lt;&gt;""),$C$1:C436)-1)</f>
        <v/>
      </c>
    </row>
    <row r="438" spans="1:4" x14ac:dyDescent="0.25">
      <c r="A438" s="1">
        <v>44792</v>
      </c>
      <c r="B438" s="2">
        <v>167.96</v>
      </c>
      <c r="C438">
        <f t="shared" si="6"/>
        <v>167.96</v>
      </c>
      <c r="D438" cm="1">
        <f t="array" ref="D438">IF(C438="","",C438/LOOKUP(2,1/($C$1:C437&lt;&gt;""),$C$1:C437)-1)</f>
        <v>-6.9473684210526243E-2</v>
      </c>
    </row>
    <row r="439" spans="1:4" hidden="1" x14ac:dyDescent="0.25">
      <c r="A439" s="1">
        <v>44795</v>
      </c>
      <c r="B439" s="2">
        <v>163.05000000000001</v>
      </c>
      <c r="C439" t="str">
        <f t="shared" si="6"/>
        <v/>
      </c>
      <c r="D439" s="5" t="str" cm="1">
        <f t="array" ref="D439">IF(C439="","",C439/LOOKUP(2,1/($C$1:C438&lt;&gt;""),$C$1:C438)-1)</f>
        <v/>
      </c>
    </row>
    <row r="440" spans="1:4" hidden="1" x14ac:dyDescent="0.25">
      <c r="A440" s="1">
        <v>44796</v>
      </c>
      <c r="B440" s="2">
        <v>161.11000000000001</v>
      </c>
      <c r="C440" t="str">
        <f t="shared" si="6"/>
        <v/>
      </c>
      <c r="D440" s="5" t="str" cm="1">
        <f t="array" ref="D440">IF(C440="","",C440/LOOKUP(2,1/($C$1:C439&lt;&gt;""),$C$1:C439)-1)</f>
        <v/>
      </c>
    </row>
    <row r="441" spans="1:4" hidden="1" x14ac:dyDescent="0.25">
      <c r="A441" s="1">
        <v>44797</v>
      </c>
      <c r="B441" s="2">
        <v>163.26</v>
      </c>
      <c r="C441" t="str">
        <f t="shared" si="6"/>
        <v/>
      </c>
      <c r="D441" s="5" t="str" cm="1">
        <f t="array" ref="D441">IF(C441="","",C441/LOOKUP(2,1/($C$1:C440&lt;&gt;""),$C$1:C440)-1)</f>
        <v/>
      </c>
    </row>
    <row r="442" spans="1:4" hidden="1" x14ac:dyDescent="0.25">
      <c r="A442" s="1">
        <v>44798</v>
      </c>
      <c r="B442" s="2">
        <v>168.78</v>
      </c>
      <c r="C442" t="str">
        <f t="shared" si="6"/>
        <v/>
      </c>
      <c r="D442" s="5" t="str" cm="1">
        <f t="array" ref="D442">IF(C442="","",C442/LOOKUP(2,1/($C$1:C441&lt;&gt;""),$C$1:C441)-1)</f>
        <v/>
      </c>
    </row>
    <row r="443" spans="1:4" x14ac:dyDescent="0.25">
      <c r="A443" s="1">
        <v>44799</v>
      </c>
      <c r="B443" s="2">
        <v>161.78</v>
      </c>
      <c r="C443">
        <f t="shared" si="6"/>
        <v>161.78</v>
      </c>
      <c r="D443" cm="1">
        <f t="array" ref="D443">IF(C443="","",C443/LOOKUP(2,1/($C$1:C442&lt;&gt;""),$C$1:C442)-1)</f>
        <v>-3.6794474874970229E-2</v>
      </c>
    </row>
    <row r="444" spans="1:4" hidden="1" x14ac:dyDescent="0.25">
      <c r="A444" s="1">
        <v>44802</v>
      </c>
      <c r="B444" s="2">
        <v>159.16999999999999</v>
      </c>
      <c r="C444" t="str">
        <f t="shared" si="6"/>
        <v/>
      </c>
      <c r="D444" s="5" t="str" cm="1">
        <f t="array" ref="D444">IF(C444="","",C444/LOOKUP(2,1/($C$1:C443&lt;&gt;""),$C$1:C443)-1)</f>
        <v/>
      </c>
    </row>
    <row r="445" spans="1:4" hidden="1" x14ac:dyDescent="0.25">
      <c r="A445" s="1">
        <v>44803</v>
      </c>
      <c r="B445" s="2">
        <v>157.16</v>
      </c>
      <c r="C445" t="str">
        <f t="shared" si="6"/>
        <v/>
      </c>
      <c r="D445" s="5" t="str" cm="1">
        <f t="array" ref="D445">IF(C445="","",C445/LOOKUP(2,1/($C$1:C444&lt;&gt;""),$C$1:C444)-1)</f>
        <v/>
      </c>
    </row>
    <row r="446" spans="1:4" hidden="1" x14ac:dyDescent="0.25">
      <c r="A446" s="1">
        <v>44804</v>
      </c>
      <c r="B446" s="2">
        <v>162.93</v>
      </c>
      <c r="C446" t="str">
        <f t="shared" si="6"/>
        <v/>
      </c>
      <c r="D446" s="5" t="str" cm="1">
        <f t="array" ref="D446">IF(C446="","",C446/LOOKUP(2,1/($C$1:C445&lt;&gt;""),$C$1:C445)-1)</f>
        <v/>
      </c>
    </row>
    <row r="447" spans="1:4" hidden="1" x14ac:dyDescent="0.25">
      <c r="A447" s="1">
        <v>44805</v>
      </c>
      <c r="B447" s="2">
        <v>165.36</v>
      </c>
      <c r="C447" t="str">
        <f t="shared" si="6"/>
        <v/>
      </c>
      <c r="D447" s="5" t="str" cm="1">
        <f t="array" ref="D447">IF(C447="","",C447/LOOKUP(2,1/($C$1:C446&lt;&gt;""),$C$1:C446)-1)</f>
        <v/>
      </c>
    </row>
    <row r="448" spans="1:4" x14ac:dyDescent="0.25">
      <c r="A448" s="1">
        <v>44806</v>
      </c>
      <c r="B448" s="2">
        <v>160.32</v>
      </c>
      <c r="C448">
        <f t="shared" si="6"/>
        <v>160.32</v>
      </c>
      <c r="D448" cm="1">
        <f t="array" ref="D448">IF(C448="","",C448/LOOKUP(2,1/($C$1:C447&lt;&gt;""),$C$1:C447)-1)</f>
        <v>-9.0246013104215983E-3</v>
      </c>
    </row>
    <row r="449" spans="1:4" hidden="1" x14ac:dyDescent="0.25">
      <c r="A449" s="1">
        <v>44810</v>
      </c>
      <c r="B449" s="2">
        <v>158.54</v>
      </c>
      <c r="C449" t="str">
        <f t="shared" si="6"/>
        <v/>
      </c>
      <c r="D449" s="5" t="str" cm="1">
        <f t="array" ref="D449">IF(C449="","",C449/LOOKUP(2,1/($C$1:C448&lt;&gt;""),$C$1:C448)-1)</f>
        <v/>
      </c>
    </row>
    <row r="450" spans="1:4" hidden="1" x14ac:dyDescent="0.25">
      <c r="A450" s="1">
        <v>44811</v>
      </c>
      <c r="B450" s="2">
        <v>160.38999999999999</v>
      </c>
      <c r="C450" t="str">
        <f t="shared" si="6"/>
        <v/>
      </c>
      <c r="D450" s="5" t="str" cm="1">
        <f t="array" ref="D450">IF(C450="","",C450/LOOKUP(2,1/($C$1:C449&lt;&gt;""),$C$1:C449)-1)</f>
        <v/>
      </c>
    </row>
    <row r="451" spans="1:4" hidden="1" x14ac:dyDescent="0.25">
      <c r="A451" s="1">
        <v>44812</v>
      </c>
      <c r="B451" s="2">
        <v>162.06</v>
      </c>
      <c r="C451" t="str">
        <f t="shared" ref="C451:C514" si="7">IF(WEEKNUM(A451)&lt;&gt;WEEKNUM(A452),B451,"")</f>
        <v/>
      </c>
      <c r="D451" s="5" t="str" cm="1">
        <f t="array" ref="D451">IF(C451="","",C451/LOOKUP(2,1/($C$1:C450&lt;&gt;""),$C$1:C450)-1)</f>
        <v/>
      </c>
    </row>
    <row r="452" spans="1:4" x14ac:dyDescent="0.25">
      <c r="A452" s="1">
        <v>44813</v>
      </c>
      <c r="B452" s="2">
        <v>169.15</v>
      </c>
      <c r="C452">
        <f t="shared" si="7"/>
        <v>169.15</v>
      </c>
      <c r="D452" cm="1">
        <f t="array" ref="D452">IF(C452="","",C452/LOOKUP(2,1/($C$1:C451&lt;&gt;""),$C$1:C451)-1)</f>
        <v>5.5077345309381354E-2</v>
      </c>
    </row>
    <row r="453" spans="1:4" hidden="1" x14ac:dyDescent="0.25">
      <c r="A453" s="1">
        <v>44816</v>
      </c>
      <c r="B453" s="2">
        <v>168.96</v>
      </c>
      <c r="C453" t="str">
        <f t="shared" si="7"/>
        <v/>
      </c>
      <c r="D453" s="5" t="str" cm="1">
        <f t="array" ref="D453">IF(C453="","",C453/LOOKUP(2,1/($C$1:C452&lt;&gt;""),$C$1:C452)-1)</f>
        <v/>
      </c>
    </row>
    <row r="454" spans="1:4" hidden="1" x14ac:dyDescent="0.25">
      <c r="A454" s="1">
        <v>44817</v>
      </c>
      <c r="B454" s="2">
        <v>153.13</v>
      </c>
      <c r="C454" t="str">
        <f t="shared" si="7"/>
        <v/>
      </c>
      <c r="D454" s="5" t="str" cm="1">
        <f t="array" ref="D454">IF(C454="","",C454/LOOKUP(2,1/($C$1:C453&lt;&gt;""),$C$1:C453)-1)</f>
        <v/>
      </c>
    </row>
    <row r="455" spans="1:4" hidden="1" x14ac:dyDescent="0.25">
      <c r="A455" s="1">
        <v>44818</v>
      </c>
      <c r="B455" s="2">
        <v>151.47</v>
      </c>
      <c r="C455" t="str">
        <f t="shared" si="7"/>
        <v/>
      </c>
      <c r="D455" s="5" t="str" cm="1">
        <f t="array" ref="D455">IF(C455="","",C455/LOOKUP(2,1/($C$1:C454&lt;&gt;""),$C$1:C454)-1)</f>
        <v/>
      </c>
    </row>
    <row r="456" spans="1:4" hidden="1" x14ac:dyDescent="0.25">
      <c r="A456" s="1">
        <v>44819</v>
      </c>
      <c r="B456" s="2">
        <v>149.55000000000001</v>
      </c>
      <c r="C456" t="str">
        <f t="shared" si="7"/>
        <v/>
      </c>
      <c r="D456" s="5" t="str" cm="1">
        <f t="array" ref="D456">IF(C456="","",C456/LOOKUP(2,1/($C$1:C455&lt;&gt;""),$C$1:C455)-1)</f>
        <v/>
      </c>
    </row>
    <row r="457" spans="1:4" x14ac:dyDescent="0.25">
      <c r="A457" s="1">
        <v>44820</v>
      </c>
      <c r="B457" s="2">
        <v>146.29</v>
      </c>
      <c r="C457">
        <f t="shared" si="7"/>
        <v>146.29</v>
      </c>
      <c r="D457" cm="1">
        <f t="array" ref="D457">IF(C457="","",C457/LOOKUP(2,1/($C$1:C456&lt;&gt;""),$C$1:C456)-1)</f>
        <v>-0.13514631983446657</v>
      </c>
    </row>
    <row r="458" spans="1:4" hidden="1" x14ac:dyDescent="0.25">
      <c r="A458" s="1">
        <v>44823</v>
      </c>
      <c r="B458" s="2">
        <v>148.02000000000001</v>
      </c>
      <c r="C458" t="str">
        <f t="shared" si="7"/>
        <v/>
      </c>
      <c r="D458" s="5" t="str" cm="1">
        <f t="array" ref="D458">IF(C458="","",C458/LOOKUP(2,1/($C$1:C457&lt;&gt;""),$C$1:C457)-1)</f>
        <v/>
      </c>
    </row>
    <row r="459" spans="1:4" hidden="1" x14ac:dyDescent="0.25">
      <c r="A459" s="1">
        <v>44824</v>
      </c>
      <c r="B459" s="2">
        <v>146.09</v>
      </c>
      <c r="C459" t="str">
        <f t="shared" si="7"/>
        <v/>
      </c>
      <c r="D459" s="5" t="str" cm="1">
        <f t="array" ref="D459">IF(C459="","",C459/LOOKUP(2,1/($C$1:C458&lt;&gt;""),$C$1:C458)-1)</f>
        <v/>
      </c>
    </row>
    <row r="460" spans="1:4" hidden="1" x14ac:dyDescent="0.25">
      <c r="A460" s="1">
        <v>44825</v>
      </c>
      <c r="B460" s="2">
        <v>142.12</v>
      </c>
      <c r="C460" t="str">
        <f t="shared" si="7"/>
        <v/>
      </c>
      <c r="D460" s="5" t="str" cm="1">
        <f t="array" ref="D460">IF(C460="","",C460/LOOKUP(2,1/($C$1:C459&lt;&gt;""),$C$1:C459)-1)</f>
        <v/>
      </c>
    </row>
    <row r="461" spans="1:4" hidden="1" x14ac:dyDescent="0.25">
      <c r="A461" s="1">
        <v>44826</v>
      </c>
      <c r="B461" s="2">
        <v>142.82</v>
      </c>
      <c r="C461" t="str">
        <f t="shared" si="7"/>
        <v/>
      </c>
      <c r="D461" s="5" t="str" cm="1">
        <f t="array" ref="D461">IF(C461="","",C461/LOOKUP(2,1/($C$1:C460&lt;&gt;""),$C$1:C460)-1)</f>
        <v/>
      </c>
    </row>
    <row r="462" spans="1:4" x14ac:dyDescent="0.25">
      <c r="A462" s="1">
        <v>44827</v>
      </c>
      <c r="B462" s="2">
        <v>140.41</v>
      </c>
      <c r="C462">
        <f t="shared" si="7"/>
        <v>140.41</v>
      </c>
      <c r="D462" cm="1">
        <f t="array" ref="D462">IF(C462="","",C462/LOOKUP(2,1/($C$1:C461&lt;&gt;""),$C$1:C461)-1)</f>
        <v>-4.0194134937452941E-2</v>
      </c>
    </row>
    <row r="463" spans="1:4" hidden="1" x14ac:dyDescent="0.25">
      <c r="A463" s="1">
        <v>44830</v>
      </c>
      <c r="B463" s="2">
        <v>136.37</v>
      </c>
      <c r="C463" t="str">
        <f t="shared" si="7"/>
        <v/>
      </c>
      <c r="D463" s="5" t="str" cm="1">
        <f t="array" ref="D463">IF(C463="","",C463/LOOKUP(2,1/($C$1:C462&lt;&gt;""),$C$1:C462)-1)</f>
        <v/>
      </c>
    </row>
    <row r="464" spans="1:4" hidden="1" x14ac:dyDescent="0.25">
      <c r="A464" s="1">
        <v>44831</v>
      </c>
      <c r="B464" s="2">
        <v>134.4</v>
      </c>
      <c r="C464" t="str">
        <f t="shared" si="7"/>
        <v/>
      </c>
      <c r="D464" s="5" t="str" cm="1">
        <f t="array" ref="D464">IF(C464="","",C464/LOOKUP(2,1/($C$1:C463&lt;&gt;""),$C$1:C463)-1)</f>
        <v/>
      </c>
    </row>
    <row r="465" spans="1:4" hidden="1" x14ac:dyDescent="0.25">
      <c r="A465" s="1">
        <v>44832</v>
      </c>
      <c r="B465" s="2">
        <v>141.61000000000001</v>
      </c>
      <c r="C465" t="str">
        <f t="shared" si="7"/>
        <v/>
      </c>
      <c r="D465" s="5" t="str" cm="1">
        <f t="array" ref="D465">IF(C465="","",C465/LOOKUP(2,1/($C$1:C464&lt;&gt;""),$C$1:C464)-1)</f>
        <v/>
      </c>
    </row>
    <row r="466" spans="1:4" hidden="1" x14ac:dyDescent="0.25">
      <c r="A466" s="1">
        <v>44833</v>
      </c>
      <c r="B466" s="2">
        <v>136.41</v>
      </c>
      <c r="C466" t="str">
        <f t="shared" si="7"/>
        <v/>
      </c>
      <c r="D466" s="5" t="str" cm="1">
        <f t="array" ref="D466">IF(C466="","",C466/LOOKUP(2,1/($C$1:C465&lt;&gt;""),$C$1:C465)-1)</f>
        <v/>
      </c>
    </row>
    <row r="467" spans="1:4" x14ac:dyDescent="0.25">
      <c r="A467" s="1">
        <v>44834</v>
      </c>
      <c r="B467" s="2">
        <v>135.68</v>
      </c>
      <c r="C467">
        <f t="shared" si="7"/>
        <v>135.68</v>
      </c>
      <c r="D467" cm="1">
        <f t="array" ref="D467">IF(C467="","",C467/LOOKUP(2,1/($C$1:C466&lt;&gt;""),$C$1:C466)-1)</f>
        <v>-3.3687059326258706E-2</v>
      </c>
    </row>
    <row r="468" spans="1:4" hidden="1" x14ac:dyDescent="0.25">
      <c r="A468" s="1">
        <v>44837</v>
      </c>
      <c r="B468" s="2">
        <v>138.61000000000001</v>
      </c>
      <c r="C468" t="str">
        <f t="shared" si="7"/>
        <v/>
      </c>
      <c r="D468" s="5" t="str" cm="1">
        <f t="array" ref="D468">IF(C468="","",C468/LOOKUP(2,1/($C$1:C467&lt;&gt;""),$C$1:C467)-1)</f>
        <v/>
      </c>
    </row>
    <row r="469" spans="1:4" hidden="1" x14ac:dyDescent="0.25">
      <c r="A469" s="1">
        <v>44838</v>
      </c>
      <c r="B469" s="2">
        <v>140.28</v>
      </c>
      <c r="C469" t="str">
        <f t="shared" si="7"/>
        <v/>
      </c>
      <c r="D469" s="5" t="str" cm="1">
        <f t="array" ref="D469">IF(C469="","",C469/LOOKUP(2,1/($C$1:C468&lt;&gt;""),$C$1:C468)-1)</f>
        <v/>
      </c>
    </row>
    <row r="470" spans="1:4" hidden="1" x14ac:dyDescent="0.25">
      <c r="A470" s="1">
        <v>44839</v>
      </c>
      <c r="B470" s="2">
        <v>138.97999999999999</v>
      </c>
      <c r="C470" t="str">
        <f t="shared" si="7"/>
        <v/>
      </c>
      <c r="D470" s="5" t="str" cm="1">
        <f t="array" ref="D470">IF(C470="","",C470/LOOKUP(2,1/($C$1:C469&lt;&gt;""),$C$1:C469)-1)</f>
        <v/>
      </c>
    </row>
    <row r="471" spans="1:4" hidden="1" x14ac:dyDescent="0.25">
      <c r="A471" s="1">
        <v>44840</v>
      </c>
      <c r="B471" s="2">
        <v>139.07</v>
      </c>
      <c r="C471" t="str">
        <f t="shared" si="7"/>
        <v/>
      </c>
      <c r="D471" s="5" t="str" cm="1">
        <f t="array" ref="D471">IF(C471="","",C471/LOOKUP(2,1/($C$1:C470&lt;&gt;""),$C$1:C470)-1)</f>
        <v/>
      </c>
    </row>
    <row r="472" spans="1:4" x14ac:dyDescent="0.25">
      <c r="A472" s="1">
        <v>44841</v>
      </c>
      <c r="B472" s="2">
        <v>133.44999999999999</v>
      </c>
      <c r="C472">
        <f t="shared" si="7"/>
        <v>133.44999999999999</v>
      </c>
      <c r="D472" cm="1">
        <f t="array" ref="D472">IF(C472="","",C472/LOOKUP(2,1/($C$1:C471&lt;&gt;""),$C$1:C471)-1)</f>
        <v>-1.6435731132075637E-2</v>
      </c>
    </row>
    <row r="473" spans="1:4" hidden="1" x14ac:dyDescent="0.25">
      <c r="A473" s="1">
        <v>44844</v>
      </c>
      <c r="B473" s="2">
        <v>133.79</v>
      </c>
      <c r="C473" t="str">
        <f t="shared" si="7"/>
        <v/>
      </c>
      <c r="D473" s="5" t="str" cm="1">
        <f t="array" ref="D473">IF(C473="","",C473/LOOKUP(2,1/($C$1:C472&lt;&gt;""),$C$1:C472)-1)</f>
        <v/>
      </c>
    </row>
    <row r="474" spans="1:4" hidden="1" x14ac:dyDescent="0.25">
      <c r="A474" s="1">
        <v>44845</v>
      </c>
      <c r="B474" s="2">
        <v>128.54</v>
      </c>
      <c r="C474" t="str">
        <f t="shared" si="7"/>
        <v/>
      </c>
      <c r="D474" s="5" t="str" cm="1">
        <f t="array" ref="D474">IF(C474="","",C474/LOOKUP(2,1/($C$1:C473&lt;&gt;""),$C$1:C473)-1)</f>
        <v/>
      </c>
    </row>
    <row r="475" spans="1:4" hidden="1" x14ac:dyDescent="0.25">
      <c r="A475" s="1">
        <v>44846</v>
      </c>
      <c r="B475" s="2">
        <v>127.5</v>
      </c>
      <c r="C475" t="str">
        <f t="shared" si="7"/>
        <v/>
      </c>
      <c r="D475" s="5" t="str" cm="1">
        <f t="array" ref="D475">IF(C475="","",C475/LOOKUP(2,1/($C$1:C474&lt;&gt;""),$C$1:C474)-1)</f>
        <v/>
      </c>
    </row>
    <row r="476" spans="1:4" hidden="1" x14ac:dyDescent="0.25">
      <c r="A476" s="1">
        <v>44847</v>
      </c>
      <c r="B476" s="2">
        <v>130.29</v>
      </c>
      <c r="C476" t="str">
        <f t="shared" si="7"/>
        <v/>
      </c>
      <c r="D476" s="5" t="str" cm="1">
        <f t="array" ref="D476">IF(C476="","",C476/LOOKUP(2,1/($C$1:C475&lt;&gt;""),$C$1:C475)-1)</f>
        <v/>
      </c>
    </row>
    <row r="477" spans="1:4" x14ac:dyDescent="0.25">
      <c r="A477" s="1">
        <v>44848</v>
      </c>
      <c r="B477" s="2">
        <v>126.76</v>
      </c>
      <c r="C477">
        <f t="shared" si="7"/>
        <v>126.76</v>
      </c>
      <c r="D477" cm="1">
        <f t="array" ref="D477">IF(C477="","",C477/LOOKUP(2,1/($C$1:C476&lt;&gt;""),$C$1:C476)-1)</f>
        <v>-5.0131135256650361E-2</v>
      </c>
    </row>
    <row r="478" spans="1:4" hidden="1" x14ac:dyDescent="0.25">
      <c r="A478" s="1">
        <v>44851</v>
      </c>
      <c r="B478" s="2">
        <v>134.04</v>
      </c>
      <c r="C478" t="str">
        <f t="shared" si="7"/>
        <v/>
      </c>
      <c r="D478" s="5" t="str" cm="1">
        <f t="array" ref="D478">IF(C478="","",C478/LOOKUP(2,1/($C$1:C477&lt;&gt;""),$C$1:C477)-1)</f>
        <v/>
      </c>
    </row>
    <row r="479" spans="1:4" hidden="1" x14ac:dyDescent="0.25">
      <c r="A479" s="1">
        <v>44852</v>
      </c>
      <c r="B479" s="2">
        <v>132.80000000000001</v>
      </c>
      <c r="C479" t="str">
        <f t="shared" si="7"/>
        <v/>
      </c>
      <c r="D479" s="5" t="str" cm="1">
        <f t="array" ref="D479">IF(C479="","",C479/LOOKUP(2,1/($C$1:C478&lt;&gt;""),$C$1:C478)-1)</f>
        <v/>
      </c>
    </row>
    <row r="480" spans="1:4" hidden="1" x14ac:dyDescent="0.25">
      <c r="A480" s="1">
        <v>44853</v>
      </c>
      <c r="B480" s="2">
        <v>133.22999999999999</v>
      </c>
      <c r="C480" t="str">
        <f t="shared" si="7"/>
        <v/>
      </c>
      <c r="D480" s="5" t="str" cm="1">
        <f t="array" ref="D480">IF(C480="","",C480/LOOKUP(2,1/($C$1:C479&lt;&gt;""),$C$1:C479)-1)</f>
        <v/>
      </c>
    </row>
    <row r="481" spans="1:4" hidden="1" x14ac:dyDescent="0.25">
      <c r="A481" s="1">
        <v>44854</v>
      </c>
      <c r="B481" s="2">
        <v>131.53</v>
      </c>
      <c r="C481" t="str">
        <f t="shared" si="7"/>
        <v/>
      </c>
      <c r="D481" s="5" t="str" cm="1">
        <f t="array" ref="D481">IF(C481="","",C481/LOOKUP(2,1/($C$1:C480&lt;&gt;""),$C$1:C480)-1)</f>
        <v/>
      </c>
    </row>
    <row r="482" spans="1:4" x14ac:dyDescent="0.25">
      <c r="A482" s="1">
        <v>44855</v>
      </c>
      <c r="B482" s="2">
        <v>130.01</v>
      </c>
      <c r="C482">
        <f t="shared" si="7"/>
        <v>130.01</v>
      </c>
      <c r="D482" cm="1">
        <f t="array" ref="D482">IF(C482="","",C482/LOOKUP(2,1/($C$1:C481&lt;&gt;""),$C$1:C481)-1)</f>
        <v>2.5639002840012415E-2</v>
      </c>
    </row>
    <row r="483" spans="1:4" hidden="1" x14ac:dyDescent="0.25">
      <c r="A483" s="1">
        <v>44858</v>
      </c>
      <c r="B483" s="2">
        <v>129.72</v>
      </c>
      <c r="C483" t="str">
        <f t="shared" si="7"/>
        <v/>
      </c>
      <c r="D483" s="5" t="str" cm="1">
        <f t="array" ref="D483">IF(C483="","",C483/LOOKUP(2,1/($C$1:C482&lt;&gt;""),$C$1:C482)-1)</f>
        <v/>
      </c>
    </row>
    <row r="484" spans="1:4" hidden="1" x14ac:dyDescent="0.25">
      <c r="A484" s="1">
        <v>44859</v>
      </c>
      <c r="B484" s="2">
        <v>137.51</v>
      </c>
      <c r="C484" t="str">
        <f t="shared" si="7"/>
        <v/>
      </c>
      <c r="D484" s="5" t="str" cm="1">
        <f t="array" ref="D484">IF(C484="","",C484/LOOKUP(2,1/($C$1:C483&lt;&gt;""),$C$1:C483)-1)</f>
        <v/>
      </c>
    </row>
    <row r="485" spans="1:4" hidden="1" x14ac:dyDescent="0.25">
      <c r="A485" s="1">
        <v>44860</v>
      </c>
      <c r="B485" s="2">
        <v>129.82</v>
      </c>
      <c r="C485" t="str">
        <f t="shared" si="7"/>
        <v/>
      </c>
      <c r="D485" s="5" t="str" cm="1">
        <f t="array" ref="D485">IF(C485="","",C485/LOOKUP(2,1/($C$1:C484&lt;&gt;""),$C$1:C484)-1)</f>
        <v/>
      </c>
    </row>
    <row r="486" spans="1:4" hidden="1" x14ac:dyDescent="0.25">
      <c r="A486" s="1">
        <v>44861</v>
      </c>
      <c r="B486" s="2">
        <v>97.94</v>
      </c>
      <c r="C486" t="str">
        <f t="shared" si="7"/>
        <v/>
      </c>
      <c r="D486" s="5" t="str" cm="1">
        <f t="array" ref="D486">IF(C486="","",C486/LOOKUP(2,1/($C$1:C485&lt;&gt;""),$C$1:C485)-1)</f>
        <v/>
      </c>
    </row>
    <row r="487" spans="1:4" x14ac:dyDescent="0.25">
      <c r="A487" s="1">
        <v>44862</v>
      </c>
      <c r="B487" s="2">
        <v>99.2</v>
      </c>
      <c r="C487">
        <f t="shared" si="7"/>
        <v>99.2</v>
      </c>
      <c r="D487" cm="1">
        <f t="array" ref="D487">IF(C487="","",C487/LOOKUP(2,1/($C$1:C486&lt;&gt;""),$C$1:C486)-1)</f>
        <v>-0.23698177063302817</v>
      </c>
    </row>
    <row r="488" spans="1:4" hidden="1" x14ac:dyDescent="0.25">
      <c r="A488" s="1">
        <v>44865</v>
      </c>
      <c r="B488" s="2">
        <v>93.16</v>
      </c>
      <c r="C488" t="str">
        <f t="shared" si="7"/>
        <v/>
      </c>
      <c r="D488" s="5" t="str" cm="1">
        <f t="array" ref="D488">IF(C488="","",C488/LOOKUP(2,1/($C$1:C487&lt;&gt;""),$C$1:C487)-1)</f>
        <v/>
      </c>
    </row>
    <row r="489" spans="1:4" hidden="1" x14ac:dyDescent="0.25">
      <c r="A489" s="1">
        <v>44866</v>
      </c>
      <c r="B489" s="2">
        <v>95.2</v>
      </c>
      <c r="C489" t="str">
        <f t="shared" si="7"/>
        <v/>
      </c>
      <c r="D489" s="5" t="str" cm="1">
        <f t="array" ref="D489">IF(C489="","",C489/LOOKUP(2,1/($C$1:C488&lt;&gt;""),$C$1:C488)-1)</f>
        <v/>
      </c>
    </row>
    <row r="490" spans="1:4" hidden="1" x14ac:dyDescent="0.25">
      <c r="A490" s="1">
        <v>44867</v>
      </c>
      <c r="B490" s="2">
        <v>90.54</v>
      </c>
      <c r="C490" t="str">
        <f t="shared" si="7"/>
        <v/>
      </c>
      <c r="D490" s="5" t="str" cm="1">
        <f t="array" ref="D490">IF(C490="","",C490/LOOKUP(2,1/($C$1:C489&lt;&gt;""),$C$1:C489)-1)</f>
        <v/>
      </c>
    </row>
    <row r="491" spans="1:4" hidden="1" x14ac:dyDescent="0.25">
      <c r="A491" s="1">
        <v>44868</v>
      </c>
      <c r="B491" s="2">
        <v>88.91</v>
      </c>
      <c r="C491" t="str">
        <f t="shared" si="7"/>
        <v/>
      </c>
      <c r="D491" s="5" t="str" cm="1">
        <f t="array" ref="D491">IF(C491="","",C491/LOOKUP(2,1/($C$1:C490&lt;&gt;""),$C$1:C490)-1)</f>
        <v/>
      </c>
    </row>
    <row r="492" spans="1:4" x14ac:dyDescent="0.25">
      <c r="A492" s="1">
        <v>44869</v>
      </c>
      <c r="B492" s="2">
        <v>90.79</v>
      </c>
      <c r="C492">
        <f t="shared" si="7"/>
        <v>90.79</v>
      </c>
      <c r="D492" cm="1">
        <f t="array" ref="D492">IF(C492="","",C492/LOOKUP(2,1/($C$1:C491&lt;&gt;""),$C$1:C491)-1)</f>
        <v>-8.4778225806451557E-2</v>
      </c>
    </row>
    <row r="493" spans="1:4" hidden="1" x14ac:dyDescent="0.25">
      <c r="A493" s="1">
        <v>44872</v>
      </c>
      <c r="B493" s="2">
        <v>96.72</v>
      </c>
      <c r="C493" t="str">
        <f t="shared" si="7"/>
        <v/>
      </c>
      <c r="D493" s="5" t="str" cm="1">
        <f t="array" ref="D493">IF(C493="","",C493/LOOKUP(2,1/($C$1:C492&lt;&gt;""),$C$1:C492)-1)</f>
        <v/>
      </c>
    </row>
    <row r="494" spans="1:4" hidden="1" x14ac:dyDescent="0.25">
      <c r="A494" s="1">
        <v>44873</v>
      </c>
      <c r="B494" s="2">
        <v>96.47</v>
      </c>
      <c r="C494" t="str">
        <f t="shared" si="7"/>
        <v/>
      </c>
      <c r="D494" s="5" t="str" cm="1">
        <f t="array" ref="D494">IF(C494="","",C494/LOOKUP(2,1/($C$1:C493&lt;&gt;""),$C$1:C493)-1)</f>
        <v/>
      </c>
    </row>
    <row r="495" spans="1:4" hidden="1" x14ac:dyDescent="0.25">
      <c r="A495" s="1">
        <v>44874</v>
      </c>
      <c r="B495" s="2">
        <v>101.47</v>
      </c>
      <c r="C495" t="str">
        <f t="shared" si="7"/>
        <v/>
      </c>
      <c r="D495" s="5" t="str" cm="1">
        <f t="array" ref="D495">IF(C495="","",C495/LOOKUP(2,1/($C$1:C494&lt;&gt;""),$C$1:C494)-1)</f>
        <v/>
      </c>
    </row>
    <row r="496" spans="1:4" hidden="1" x14ac:dyDescent="0.25">
      <c r="A496" s="1">
        <v>44875</v>
      </c>
      <c r="B496" s="2">
        <v>111.87</v>
      </c>
      <c r="C496" t="str">
        <f t="shared" si="7"/>
        <v/>
      </c>
      <c r="D496" s="5" t="str" cm="1">
        <f t="array" ref="D496">IF(C496="","",C496/LOOKUP(2,1/($C$1:C495&lt;&gt;""),$C$1:C495)-1)</f>
        <v/>
      </c>
    </row>
    <row r="497" spans="1:4" x14ac:dyDescent="0.25">
      <c r="A497" s="1">
        <v>44876</v>
      </c>
      <c r="B497" s="2">
        <v>113.02</v>
      </c>
      <c r="C497">
        <f t="shared" si="7"/>
        <v>113.02</v>
      </c>
      <c r="D497" cm="1">
        <f t="array" ref="D497">IF(C497="","",C497/LOOKUP(2,1/($C$1:C496&lt;&gt;""),$C$1:C496)-1)</f>
        <v>0.24485075448837956</v>
      </c>
    </row>
    <row r="498" spans="1:4" hidden="1" x14ac:dyDescent="0.25">
      <c r="A498" s="1">
        <v>44879</v>
      </c>
      <c r="B498" s="2">
        <v>114.22</v>
      </c>
      <c r="C498" t="str">
        <f t="shared" si="7"/>
        <v/>
      </c>
      <c r="D498" s="5" t="str" cm="1">
        <f t="array" ref="D498">IF(C498="","",C498/LOOKUP(2,1/($C$1:C497&lt;&gt;""),$C$1:C497)-1)</f>
        <v/>
      </c>
    </row>
    <row r="499" spans="1:4" hidden="1" x14ac:dyDescent="0.25">
      <c r="A499" s="1">
        <v>44880</v>
      </c>
      <c r="B499" s="2">
        <v>117.08</v>
      </c>
      <c r="C499" t="str">
        <f t="shared" si="7"/>
        <v/>
      </c>
      <c r="D499" s="5" t="str" cm="1">
        <f t="array" ref="D499">IF(C499="","",C499/LOOKUP(2,1/($C$1:C498&lt;&gt;""),$C$1:C498)-1)</f>
        <v/>
      </c>
    </row>
    <row r="500" spans="1:4" hidden="1" x14ac:dyDescent="0.25">
      <c r="A500" s="1">
        <v>44881</v>
      </c>
      <c r="B500" s="2">
        <v>113.23</v>
      </c>
      <c r="C500" t="str">
        <f t="shared" si="7"/>
        <v/>
      </c>
      <c r="D500" s="5" t="str" cm="1">
        <f t="array" ref="D500">IF(C500="","",C500/LOOKUP(2,1/($C$1:C499&lt;&gt;""),$C$1:C499)-1)</f>
        <v/>
      </c>
    </row>
    <row r="501" spans="1:4" hidden="1" x14ac:dyDescent="0.25">
      <c r="A501" s="1">
        <v>44882</v>
      </c>
      <c r="B501" s="2">
        <v>111.45</v>
      </c>
      <c r="C501" t="str">
        <f t="shared" si="7"/>
        <v/>
      </c>
      <c r="D501" s="5" t="str" cm="1">
        <f t="array" ref="D501">IF(C501="","",C501/LOOKUP(2,1/($C$1:C500&lt;&gt;""),$C$1:C500)-1)</f>
        <v/>
      </c>
    </row>
    <row r="502" spans="1:4" x14ac:dyDescent="0.25">
      <c r="A502" s="1">
        <v>44883</v>
      </c>
      <c r="B502" s="2">
        <v>112.05</v>
      </c>
      <c r="C502">
        <f t="shared" si="7"/>
        <v>112.05</v>
      </c>
      <c r="D502" cm="1">
        <f t="array" ref="D502">IF(C502="","",C502/LOOKUP(2,1/($C$1:C501&lt;&gt;""),$C$1:C501)-1)</f>
        <v>-8.5825517607502899E-3</v>
      </c>
    </row>
    <row r="503" spans="1:4" hidden="1" x14ac:dyDescent="0.25">
      <c r="A503" s="1">
        <v>44886</v>
      </c>
      <c r="B503" s="2">
        <v>109.86</v>
      </c>
      <c r="C503" t="str">
        <f t="shared" si="7"/>
        <v/>
      </c>
      <c r="D503" s="5" t="str" cm="1">
        <f t="array" ref="D503">IF(C503="","",C503/LOOKUP(2,1/($C$1:C502&lt;&gt;""),$C$1:C502)-1)</f>
        <v/>
      </c>
    </row>
    <row r="504" spans="1:4" hidden="1" x14ac:dyDescent="0.25">
      <c r="A504" s="1">
        <v>44887</v>
      </c>
      <c r="B504" s="2">
        <v>111.44</v>
      </c>
      <c r="C504" t="str">
        <f t="shared" si="7"/>
        <v/>
      </c>
      <c r="D504" s="5" t="str" cm="1">
        <f t="array" ref="D504">IF(C504="","",C504/LOOKUP(2,1/($C$1:C503&lt;&gt;""),$C$1:C503)-1)</f>
        <v/>
      </c>
    </row>
    <row r="505" spans="1:4" hidden="1" x14ac:dyDescent="0.25">
      <c r="A505" s="1">
        <v>44888</v>
      </c>
      <c r="B505" s="2">
        <v>112.24</v>
      </c>
      <c r="C505" t="str">
        <f t="shared" si="7"/>
        <v/>
      </c>
      <c r="D505" s="5" t="str" cm="1">
        <f t="array" ref="D505">IF(C505="","",C505/LOOKUP(2,1/($C$1:C504&lt;&gt;""),$C$1:C504)-1)</f>
        <v/>
      </c>
    </row>
    <row r="506" spans="1:4" x14ac:dyDescent="0.25">
      <c r="A506" s="1">
        <v>44890</v>
      </c>
      <c r="B506" s="2">
        <v>111.41</v>
      </c>
      <c r="C506">
        <f t="shared" si="7"/>
        <v>111.41</v>
      </c>
      <c r="D506" cm="1">
        <f t="array" ref="D506">IF(C506="","",C506/LOOKUP(2,1/($C$1:C505&lt;&gt;""),$C$1:C505)-1)</f>
        <v>-5.7117358322177347E-3</v>
      </c>
    </row>
    <row r="507" spans="1:4" hidden="1" x14ac:dyDescent="0.25">
      <c r="A507" s="1">
        <v>44893</v>
      </c>
      <c r="B507" s="2">
        <v>108.78</v>
      </c>
      <c r="C507" t="str">
        <f t="shared" si="7"/>
        <v/>
      </c>
      <c r="D507" s="5" t="str" cm="1">
        <f t="array" ref="D507">IF(C507="","",C507/LOOKUP(2,1/($C$1:C506&lt;&gt;""),$C$1:C506)-1)</f>
        <v/>
      </c>
    </row>
    <row r="508" spans="1:4" hidden="1" x14ac:dyDescent="0.25">
      <c r="A508" s="1">
        <v>44894</v>
      </c>
      <c r="B508" s="2">
        <v>109.46</v>
      </c>
      <c r="C508" t="str">
        <f t="shared" si="7"/>
        <v/>
      </c>
      <c r="D508" s="5" t="str" cm="1">
        <f t="array" ref="D508">IF(C508="","",C508/LOOKUP(2,1/($C$1:C507&lt;&gt;""),$C$1:C507)-1)</f>
        <v/>
      </c>
    </row>
    <row r="509" spans="1:4" hidden="1" x14ac:dyDescent="0.25">
      <c r="A509" s="1">
        <v>44895</v>
      </c>
      <c r="B509" s="2">
        <v>118.1</v>
      </c>
      <c r="C509" t="str">
        <f t="shared" si="7"/>
        <v/>
      </c>
      <c r="D509" s="5" t="str" cm="1">
        <f t="array" ref="D509">IF(C509="","",C509/LOOKUP(2,1/($C$1:C508&lt;&gt;""),$C$1:C508)-1)</f>
        <v/>
      </c>
    </row>
    <row r="510" spans="1:4" hidden="1" x14ac:dyDescent="0.25">
      <c r="A510" s="1">
        <v>44896</v>
      </c>
      <c r="B510" s="2">
        <v>120.44</v>
      </c>
      <c r="C510" t="str">
        <f t="shared" si="7"/>
        <v/>
      </c>
      <c r="D510" s="5" t="str" cm="1">
        <f t="array" ref="D510">IF(C510="","",C510/LOOKUP(2,1/($C$1:C509&lt;&gt;""),$C$1:C509)-1)</f>
        <v/>
      </c>
    </row>
    <row r="511" spans="1:4" x14ac:dyDescent="0.25">
      <c r="A511" s="1">
        <v>44897</v>
      </c>
      <c r="B511" s="2">
        <v>123.49</v>
      </c>
      <c r="C511">
        <f t="shared" si="7"/>
        <v>123.49</v>
      </c>
      <c r="D511" cm="1">
        <f t="array" ref="D511">IF(C511="","",C511/LOOKUP(2,1/($C$1:C510&lt;&gt;""),$C$1:C510)-1)</f>
        <v>0.10842832779822276</v>
      </c>
    </row>
    <row r="512" spans="1:4" hidden="1" x14ac:dyDescent="0.25">
      <c r="A512" s="1">
        <v>44900</v>
      </c>
      <c r="B512" s="2">
        <v>122.43</v>
      </c>
      <c r="C512" t="str">
        <f t="shared" si="7"/>
        <v/>
      </c>
      <c r="D512" s="5" t="str" cm="1">
        <f t="array" ref="D512">IF(C512="","",C512/LOOKUP(2,1/($C$1:C511&lt;&gt;""),$C$1:C511)-1)</f>
        <v/>
      </c>
    </row>
    <row r="513" spans="1:4" hidden="1" x14ac:dyDescent="0.25">
      <c r="A513" s="1">
        <v>44901</v>
      </c>
      <c r="B513" s="2">
        <v>114.12</v>
      </c>
      <c r="C513" t="str">
        <f t="shared" si="7"/>
        <v/>
      </c>
      <c r="D513" s="5" t="str" cm="1">
        <f t="array" ref="D513">IF(C513="","",C513/LOOKUP(2,1/($C$1:C512&lt;&gt;""),$C$1:C512)-1)</f>
        <v/>
      </c>
    </row>
    <row r="514" spans="1:4" hidden="1" x14ac:dyDescent="0.25">
      <c r="A514" s="1">
        <v>44902</v>
      </c>
      <c r="B514" s="2">
        <v>113.93</v>
      </c>
      <c r="C514" t="str">
        <f t="shared" si="7"/>
        <v/>
      </c>
      <c r="D514" s="5" t="str" cm="1">
        <f t="array" ref="D514">IF(C514="","",C514/LOOKUP(2,1/($C$1:C513&lt;&gt;""),$C$1:C513)-1)</f>
        <v/>
      </c>
    </row>
    <row r="515" spans="1:4" hidden="1" x14ac:dyDescent="0.25">
      <c r="A515" s="1">
        <v>44903</v>
      </c>
      <c r="B515" s="2">
        <v>115.33</v>
      </c>
      <c r="C515" t="str">
        <f t="shared" ref="C515:C578" si="8">IF(WEEKNUM(A515)&lt;&gt;WEEKNUM(A516),B515,"")</f>
        <v/>
      </c>
      <c r="D515" s="5" t="str" cm="1">
        <f t="array" ref="D515">IF(C515="","",C515/LOOKUP(2,1/($C$1:C514&lt;&gt;""),$C$1:C514)-1)</f>
        <v/>
      </c>
    </row>
    <row r="516" spans="1:4" x14ac:dyDescent="0.25">
      <c r="A516" s="1">
        <v>44904</v>
      </c>
      <c r="B516" s="2">
        <v>115.9</v>
      </c>
      <c r="C516">
        <f t="shared" si="8"/>
        <v>115.9</v>
      </c>
      <c r="D516" cm="1">
        <f t="array" ref="D516">IF(C516="","",C516/LOOKUP(2,1/($C$1:C515&lt;&gt;""),$C$1:C515)-1)</f>
        <v>-6.1462466596485466E-2</v>
      </c>
    </row>
    <row r="517" spans="1:4" hidden="1" x14ac:dyDescent="0.25">
      <c r="A517" s="1">
        <v>44907</v>
      </c>
      <c r="B517" s="2">
        <v>114.71</v>
      </c>
      <c r="C517" t="str">
        <f t="shared" si="8"/>
        <v/>
      </c>
      <c r="D517" s="5" t="str" cm="1">
        <f t="array" ref="D517">IF(C517="","",C517/LOOKUP(2,1/($C$1:C516&lt;&gt;""),$C$1:C516)-1)</f>
        <v/>
      </c>
    </row>
    <row r="518" spans="1:4" hidden="1" x14ac:dyDescent="0.25">
      <c r="A518" s="1">
        <v>44908</v>
      </c>
      <c r="B518" s="2">
        <v>120.15</v>
      </c>
      <c r="C518" t="str">
        <f t="shared" si="8"/>
        <v/>
      </c>
      <c r="D518" s="5" t="str" cm="1">
        <f t="array" ref="D518">IF(C518="","",C518/LOOKUP(2,1/($C$1:C517&lt;&gt;""),$C$1:C517)-1)</f>
        <v/>
      </c>
    </row>
    <row r="519" spans="1:4" hidden="1" x14ac:dyDescent="0.25">
      <c r="A519" s="1">
        <v>44909</v>
      </c>
      <c r="B519" s="2">
        <v>121.59</v>
      </c>
      <c r="C519" t="str">
        <f t="shared" si="8"/>
        <v/>
      </c>
      <c r="D519" s="5" t="str" cm="1">
        <f t="array" ref="D519">IF(C519="","",C519/LOOKUP(2,1/($C$1:C518&lt;&gt;""),$C$1:C518)-1)</f>
        <v/>
      </c>
    </row>
    <row r="520" spans="1:4" hidden="1" x14ac:dyDescent="0.25">
      <c r="A520" s="1">
        <v>44910</v>
      </c>
      <c r="B520" s="2">
        <v>116.15</v>
      </c>
      <c r="C520" t="str">
        <f t="shared" si="8"/>
        <v/>
      </c>
      <c r="D520" s="5" t="str" cm="1">
        <f t="array" ref="D520">IF(C520="","",C520/LOOKUP(2,1/($C$1:C519&lt;&gt;""),$C$1:C519)-1)</f>
        <v/>
      </c>
    </row>
    <row r="521" spans="1:4" x14ac:dyDescent="0.25">
      <c r="A521" s="1">
        <v>44911</v>
      </c>
      <c r="B521" s="2">
        <v>119.43</v>
      </c>
      <c r="C521">
        <f t="shared" si="8"/>
        <v>119.43</v>
      </c>
      <c r="D521" cm="1">
        <f t="array" ref="D521">IF(C521="","",C521/LOOKUP(2,1/($C$1:C520&lt;&gt;""),$C$1:C520)-1)</f>
        <v>3.0457290767903267E-2</v>
      </c>
    </row>
    <row r="522" spans="1:4" hidden="1" x14ac:dyDescent="0.25">
      <c r="A522" s="1">
        <v>44914</v>
      </c>
      <c r="B522" s="2">
        <v>114.48</v>
      </c>
      <c r="C522" t="str">
        <f t="shared" si="8"/>
        <v/>
      </c>
      <c r="D522" s="5" t="str" cm="1">
        <f t="array" ref="D522">IF(C522="","",C522/LOOKUP(2,1/($C$1:C521&lt;&gt;""),$C$1:C521)-1)</f>
        <v/>
      </c>
    </row>
    <row r="523" spans="1:4" hidden="1" x14ac:dyDescent="0.25">
      <c r="A523" s="1">
        <v>44915</v>
      </c>
      <c r="B523" s="2">
        <v>117.09</v>
      </c>
      <c r="C523" t="str">
        <f t="shared" si="8"/>
        <v/>
      </c>
      <c r="D523" s="5" t="str" cm="1">
        <f t="array" ref="D523">IF(C523="","",C523/LOOKUP(2,1/($C$1:C522&lt;&gt;""),$C$1:C522)-1)</f>
        <v/>
      </c>
    </row>
    <row r="524" spans="1:4" hidden="1" x14ac:dyDescent="0.25">
      <c r="A524" s="1">
        <v>44916</v>
      </c>
      <c r="B524" s="2">
        <v>119.76</v>
      </c>
      <c r="C524" t="str">
        <f t="shared" si="8"/>
        <v/>
      </c>
      <c r="D524" s="5" t="str" cm="1">
        <f t="array" ref="D524">IF(C524="","",C524/LOOKUP(2,1/($C$1:C523&lt;&gt;""),$C$1:C523)-1)</f>
        <v/>
      </c>
    </row>
    <row r="525" spans="1:4" hidden="1" x14ac:dyDescent="0.25">
      <c r="A525" s="1">
        <v>44917</v>
      </c>
      <c r="B525" s="2">
        <v>117.12</v>
      </c>
      <c r="C525" t="str">
        <f t="shared" si="8"/>
        <v/>
      </c>
      <c r="D525" s="5" t="str" cm="1">
        <f t="array" ref="D525">IF(C525="","",C525/LOOKUP(2,1/($C$1:C524&lt;&gt;""),$C$1:C524)-1)</f>
        <v/>
      </c>
    </row>
    <row r="526" spans="1:4" x14ac:dyDescent="0.25">
      <c r="A526" s="1">
        <v>44918</v>
      </c>
      <c r="B526" s="2">
        <v>118.04</v>
      </c>
      <c r="C526">
        <f t="shared" si="8"/>
        <v>118.04</v>
      </c>
      <c r="D526" cm="1">
        <f t="array" ref="D526">IF(C526="","",C526/LOOKUP(2,1/($C$1:C525&lt;&gt;""),$C$1:C525)-1)</f>
        <v>-1.163861676295741E-2</v>
      </c>
    </row>
    <row r="527" spans="1:4" hidden="1" x14ac:dyDescent="0.25">
      <c r="A527" s="1">
        <v>44922</v>
      </c>
      <c r="B527" s="2">
        <v>116.88</v>
      </c>
      <c r="C527" t="str">
        <f t="shared" si="8"/>
        <v/>
      </c>
      <c r="D527" s="5" t="str" cm="1">
        <f t="array" ref="D527">IF(C527="","",C527/LOOKUP(2,1/($C$1:C526&lt;&gt;""),$C$1:C526)-1)</f>
        <v/>
      </c>
    </row>
    <row r="528" spans="1:4" hidden="1" x14ac:dyDescent="0.25">
      <c r="A528" s="1">
        <v>44923</v>
      </c>
      <c r="B528" s="2">
        <v>115.62</v>
      </c>
      <c r="C528" t="str">
        <f t="shared" si="8"/>
        <v/>
      </c>
      <c r="D528" s="5" t="str" cm="1">
        <f t="array" ref="D528">IF(C528="","",C528/LOOKUP(2,1/($C$1:C527&lt;&gt;""),$C$1:C527)-1)</f>
        <v/>
      </c>
    </row>
    <row r="529" spans="1:4" hidden="1" x14ac:dyDescent="0.25">
      <c r="A529" s="1">
        <v>44924</v>
      </c>
      <c r="B529" s="2">
        <v>120.26</v>
      </c>
      <c r="C529" t="str">
        <f t="shared" si="8"/>
        <v/>
      </c>
      <c r="D529" s="5" t="str" cm="1">
        <f t="array" ref="D529">IF(C529="","",C529/LOOKUP(2,1/($C$1:C528&lt;&gt;""),$C$1:C528)-1)</f>
        <v/>
      </c>
    </row>
    <row r="530" spans="1:4" x14ac:dyDescent="0.25">
      <c r="A530" s="1">
        <v>44925</v>
      </c>
      <c r="B530" s="2">
        <v>120.34</v>
      </c>
      <c r="C530">
        <f t="shared" si="8"/>
        <v>120.34</v>
      </c>
      <c r="D530" cm="1">
        <f t="array" ref="D530">IF(C530="","",C530/LOOKUP(2,1/($C$1:C529&lt;&gt;""),$C$1:C529)-1)</f>
        <v>1.9484920365977709E-2</v>
      </c>
    </row>
    <row r="531" spans="1:4" hidden="1" x14ac:dyDescent="0.25">
      <c r="A531" s="1">
        <v>44929</v>
      </c>
      <c r="B531" s="2">
        <v>124.74</v>
      </c>
      <c r="C531" t="str">
        <f t="shared" si="8"/>
        <v/>
      </c>
      <c r="D531" s="5" t="str" cm="1">
        <f t="array" ref="D531">IF(C531="","",C531/LOOKUP(2,1/($C$1:C530&lt;&gt;""),$C$1:C530)-1)</f>
        <v/>
      </c>
    </row>
    <row r="532" spans="1:4" hidden="1" x14ac:dyDescent="0.25">
      <c r="A532" s="1">
        <v>44930</v>
      </c>
      <c r="B532" s="2">
        <v>127.37</v>
      </c>
      <c r="C532" t="str">
        <f t="shared" si="8"/>
        <v/>
      </c>
      <c r="D532" s="5" t="str" cm="1">
        <f t="array" ref="D532">IF(C532="","",C532/LOOKUP(2,1/($C$1:C531&lt;&gt;""),$C$1:C531)-1)</f>
        <v/>
      </c>
    </row>
    <row r="533" spans="1:4" hidden="1" x14ac:dyDescent="0.25">
      <c r="A533" s="1">
        <v>44931</v>
      </c>
      <c r="B533" s="2">
        <v>126.94</v>
      </c>
      <c r="C533" t="str">
        <f t="shared" si="8"/>
        <v/>
      </c>
      <c r="D533" s="5" t="str" cm="1">
        <f t="array" ref="D533">IF(C533="","",C533/LOOKUP(2,1/($C$1:C532&lt;&gt;""),$C$1:C532)-1)</f>
        <v/>
      </c>
    </row>
    <row r="534" spans="1:4" x14ac:dyDescent="0.25">
      <c r="A534" s="1">
        <v>44932</v>
      </c>
      <c r="B534" s="2">
        <v>130.02000000000001</v>
      </c>
      <c r="C534">
        <f t="shared" si="8"/>
        <v>130.02000000000001</v>
      </c>
      <c r="D534" cm="1">
        <f t="array" ref="D534">IF(C534="","",C534/LOOKUP(2,1/($C$1:C533&lt;&gt;""),$C$1:C533)-1)</f>
        <v>8.0438756855575999E-2</v>
      </c>
    </row>
    <row r="535" spans="1:4" hidden="1" x14ac:dyDescent="0.25">
      <c r="A535" s="1">
        <v>44935</v>
      </c>
      <c r="B535" s="2">
        <v>129.47</v>
      </c>
      <c r="C535" t="str">
        <f t="shared" si="8"/>
        <v/>
      </c>
      <c r="D535" s="5" t="str" cm="1">
        <f t="array" ref="D535">IF(C535="","",C535/LOOKUP(2,1/($C$1:C534&lt;&gt;""),$C$1:C534)-1)</f>
        <v/>
      </c>
    </row>
    <row r="536" spans="1:4" hidden="1" x14ac:dyDescent="0.25">
      <c r="A536" s="1">
        <v>44936</v>
      </c>
      <c r="B536" s="2">
        <v>132.99</v>
      </c>
      <c r="C536" t="str">
        <f t="shared" si="8"/>
        <v/>
      </c>
      <c r="D536" s="5" t="str" cm="1">
        <f t="array" ref="D536">IF(C536="","",C536/LOOKUP(2,1/($C$1:C535&lt;&gt;""),$C$1:C535)-1)</f>
        <v/>
      </c>
    </row>
    <row r="537" spans="1:4" hidden="1" x14ac:dyDescent="0.25">
      <c r="A537" s="1">
        <v>44937</v>
      </c>
      <c r="B537" s="2">
        <v>132.88999999999999</v>
      </c>
      <c r="C537" t="str">
        <f t="shared" si="8"/>
        <v/>
      </c>
      <c r="D537" s="5" t="str" cm="1">
        <f t="array" ref="D537">IF(C537="","",C537/LOOKUP(2,1/($C$1:C536&lt;&gt;""),$C$1:C536)-1)</f>
        <v/>
      </c>
    </row>
    <row r="538" spans="1:4" hidden="1" x14ac:dyDescent="0.25">
      <c r="A538" s="1">
        <v>44938</v>
      </c>
      <c r="B538" s="2">
        <v>136.71</v>
      </c>
      <c r="C538" t="str">
        <f t="shared" si="8"/>
        <v/>
      </c>
      <c r="D538" s="5" t="str" cm="1">
        <f t="array" ref="D538">IF(C538="","",C538/LOOKUP(2,1/($C$1:C537&lt;&gt;""),$C$1:C537)-1)</f>
        <v/>
      </c>
    </row>
    <row r="539" spans="1:4" x14ac:dyDescent="0.25">
      <c r="A539" s="1">
        <v>44939</v>
      </c>
      <c r="B539" s="2">
        <v>136.97999999999999</v>
      </c>
      <c r="C539">
        <f t="shared" si="8"/>
        <v>136.97999999999999</v>
      </c>
      <c r="D539" cm="1">
        <f t="array" ref="D539">IF(C539="","",C539/LOOKUP(2,1/($C$1:C538&lt;&gt;""),$C$1:C538)-1)</f>
        <v>5.3530226119058444E-2</v>
      </c>
    </row>
    <row r="540" spans="1:4" hidden="1" x14ac:dyDescent="0.25">
      <c r="A540" s="1">
        <v>44943</v>
      </c>
      <c r="B540" s="2">
        <v>135.36000000000001</v>
      </c>
      <c r="C540" t="str">
        <f t="shared" si="8"/>
        <v/>
      </c>
      <c r="D540" s="5" t="str" cm="1">
        <f t="array" ref="D540">IF(C540="","",C540/LOOKUP(2,1/($C$1:C539&lt;&gt;""),$C$1:C539)-1)</f>
        <v/>
      </c>
    </row>
    <row r="541" spans="1:4" hidden="1" x14ac:dyDescent="0.25">
      <c r="A541" s="1">
        <v>44944</v>
      </c>
      <c r="B541" s="2">
        <v>133.02000000000001</v>
      </c>
      <c r="C541" t="str">
        <f t="shared" si="8"/>
        <v/>
      </c>
      <c r="D541" s="5" t="str" cm="1">
        <f t="array" ref="D541">IF(C541="","",C541/LOOKUP(2,1/($C$1:C540&lt;&gt;""),$C$1:C540)-1)</f>
        <v/>
      </c>
    </row>
    <row r="542" spans="1:4" hidden="1" x14ac:dyDescent="0.25">
      <c r="A542" s="1">
        <v>44945</v>
      </c>
      <c r="B542" s="2">
        <v>136.15</v>
      </c>
      <c r="C542" t="str">
        <f t="shared" si="8"/>
        <v/>
      </c>
      <c r="D542" s="5" t="str" cm="1">
        <f t="array" ref="D542">IF(C542="","",C542/LOOKUP(2,1/($C$1:C541&lt;&gt;""),$C$1:C541)-1)</f>
        <v/>
      </c>
    </row>
    <row r="543" spans="1:4" x14ac:dyDescent="0.25">
      <c r="A543" s="1">
        <v>44946</v>
      </c>
      <c r="B543" s="2">
        <v>139.37</v>
      </c>
      <c r="C543">
        <f t="shared" si="8"/>
        <v>139.37</v>
      </c>
      <c r="D543" cm="1">
        <f t="array" ref="D543">IF(C543="","",C543/LOOKUP(2,1/($C$1:C542&lt;&gt;""),$C$1:C542)-1)</f>
        <v>1.7447802598919759E-2</v>
      </c>
    </row>
    <row r="544" spans="1:4" hidden="1" x14ac:dyDescent="0.25">
      <c r="A544" s="1">
        <v>44949</v>
      </c>
      <c r="B544" s="2">
        <v>143.27000000000001</v>
      </c>
      <c r="C544" t="str">
        <f t="shared" si="8"/>
        <v/>
      </c>
      <c r="D544" s="5" t="str" cm="1">
        <f t="array" ref="D544">IF(C544="","",C544/LOOKUP(2,1/($C$1:C543&lt;&gt;""),$C$1:C543)-1)</f>
        <v/>
      </c>
    </row>
    <row r="545" spans="1:4" hidden="1" x14ac:dyDescent="0.25">
      <c r="A545" s="1">
        <v>44950</v>
      </c>
      <c r="B545" s="2">
        <v>143.13999999999999</v>
      </c>
      <c r="C545" t="str">
        <f t="shared" si="8"/>
        <v/>
      </c>
      <c r="D545" s="5" t="str" cm="1">
        <f t="array" ref="D545">IF(C545="","",C545/LOOKUP(2,1/($C$1:C544&lt;&gt;""),$C$1:C544)-1)</f>
        <v/>
      </c>
    </row>
    <row r="546" spans="1:4" hidden="1" x14ac:dyDescent="0.25">
      <c r="A546" s="1">
        <v>44951</v>
      </c>
      <c r="B546" s="2">
        <v>141.5</v>
      </c>
      <c r="C546" t="str">
        <f t="shared" si="8"/>
        <v/>
      </c>
      <c r="D546" s="5" t="str" cm="1">
        <f t="array" ref="D546">IF(C546="","",C546/LOOKUP(2,1/($C$1:C545&lt;&gt;""),$C$1:C545)-1)</f>
        <v/>
      </c>
    </row>
    <row r="547" spans="1:4" hidden="1" x14ac:dyDescent="0.25">
      <c r="A547" s="1">
        <v>44952</v>
      </c>
      <c r="B547" s="2">
        <v>147.30000000000001</v>
      </c>
      <c r="C547" t="str">
        <f t="shared" si="8"/>
        <v/>
      </c>
      <c r="D547" s="5" t="str" cm="1">
        <f t="array" ref="D547">IF(C547="","",C547/LOOKUP(2,1/($C$1:C546&lt;&gt;""),$C$1:C546)-1)</f>
        <v/>
      </c>
    </row>
    <row r="548" spans="1:4" x14ac:dyDescent="0.25">
      <c r="A548" s="1">
        <v>44953</v>
      </c>
      <c r="B548" s="2">
        <v>151.74</v>
      </c>
      <c r="C548">
        <f t="shared" si="8"/>
        <v>151.74</v>
      </c>
      <c r="D548" cm="1">
        <f t="array" ref="D548">IF(C548="","",C548/LOOKUP(2,1/($C$1:C547&lt;&gt;""),$C$1:C547)-1)</f>
        <v>8.8756547320083312E-2</v>
      </c>
    </row>
    <row r="549" spans="1:4" hidden="1" x14ac:dyDescent="0.25">
      <c r="A549" s="1">
        <v>44956</v>
      </c>
      <c r="B549" s="2">
        <v>147.06</v>
      </c>
      <c r="C549" t="str">
        <f t="shared" si="8"/>
        <v/>
      </c>
      <c r="D549" s="5" t="str" cm="1">
        <f t="array" ref="D549">IF(C549="","",C549/LOOKUP(2,1/($C$1:C548&lt;&gt;""),$C$1:C548)-1)</f>
        <v/>
      </c>
    </row>
    <row r="550" spans="1:4" hidden="1" x14ac:dyDescent="0.25">
      <c r="A550" s="1">
        <v>44957</v>
      </c>
      <c r="B550" s="2">
        <v>148.97</v>
      </c>
      <c r="C550" t="str">
        <f t="shared" si="8"/>
        <v/>
      </c>
      <c r="D550" s="5" t="str" cm="1">
        <f t="array" ref="D550">IF(C550="","",C550/LOOKUP(2,1/($C$1:C549&lt;&gt;""),$C$1:C549)-1)</f>
        <v/>
      </c>
    </row>
    <row r="551" spans="1:4" hidden="1" x14ac:dyDescent="0.25">
      <c r="A551" s="1">
        <v>44958</v>
      </c>
      <c r="B551" s="2">
        <v>153.12</v>
      </c>
      <c r="C551" t="str">
        <f t="shared" si="8"/>
        <v/>
      </c>
      <c r="D551" s="5" t="str" cm="1">
        <f t="array" ref="D551">IF(C551="","",C551/LOOKUP(2,1/($C$1:C550&lt;&gt;""),$C$1:C550)-1)</f>
        <v/>
      </c>
    </row>
    <row r="552" spans="1:4" hidden="1" x14ac:dyDescent="0.25">
      <c r="A552" s="1">
        <v>44959</v>
      </c>
      <c r="B552" s="2">
        <v>188.77</v>
      </c>
      <c r="C552" t="str">
        <f t="shared" si="8"/>
        <v/>
      </c>
      <c r="D552" s="5" t="str" cm="1">
        <f t="array" ref="D552">IF(C552="","",C552/LOOKUP(2,1/($C$1:C551&lt;&gt;""),$C$1:C551)-1)</f>
        <v/>
      </c>
    </row>
    <row r="553" spans="1:4" x14ac:dyDescent="0.25">
      <c r="A553" s="1">
        <v>44960</v>
      </c>
      <c r="B553" s="2">
        <v>186.53</v>
      </c>
      <c r="C553">
        <f t="shared" si="8"/>
        <v>186.53</v>
      </c>
      <c r="D553" cm="1">
        <f t="array" ref="D553">IF(C553="","",C553/LOOKUP(2,1/($C$1:C552&lt;&gt;""),$C$1:C552)-1)</f>
        <v>0.22927375774350867</v>
      </c>
    </row>
    <row r="554" spans="1:4" hidden="1" x14ac:dyDescent="0.25">
      <c r="A554" s="1">
        <v>44963</v>
      </c>
      <c r="B554" s="2">
        <v>186.06</v>
      </c>
      <c r="C554" t="str">
        <f t="shared" si="8"/>
        <v/>
      </c>
      <c r="D554" s="5" t="str" cm="1">
        <f t="array" ref="D554">IF(C554="","",C554/LOOKUP(2,1/($C$1:C553&lt;&gt;""),$C$1:C553)-1)</f>
        <v/>
      </c>
    </row>
    <row r="555" spans="1:4" hidden="1" x14ac:dyDescent="0.25">
      <c r="A555" s="1">
        <v>44964</v>
      </c>
      <c r="B555" s="2">
        <v>191.62</v>
      </c>
      <c r="C555" t="str">
        <f t="shared" si="8"/>
        <v/>
      </c>
      <c r="D555" s="5" t="str" cm="1">
        <f t="array" ref="D555">IF(C555="","",C555/LOOKUP(2,1/($C$1:C554&lt;&gt;""),$C$1:C554)-1)</f>
        <v/>
      </c>
    </row>
    <row r="556" spans="1:4" hidden="1" x14ac:dyDescent="0.25">
      <c r="A556" s="1">
        <v>44965</v>
      </c>
      <c r="B556" s="2">
        <v>183.43</v>
      </c>
      <c r="C556" t="str">
        <f t="shared" si="8"/>
        <v/>
      </c>
      <c r="D556" s="5" t="str" cm="1">
        <f t="array" ref="D556">IF(C556="","",C556/LOOKUP(2,1/($C$1:C555&lt;&gt;""),$C$1:C555)-1)</f>
        <v/>
      </c>
    </row>
    <row r="557" spans="1:4" hidden="1" x14ac:dyDescent="0.25">
      <c r="A557" s="1">
        <v>44966</v>
      </c>
      <c r="B557" s="2">
        <v>177.92</v>
      </c>
      <c r="C557" t="str">
        <f t="shared" si="8"/>
        <v/>
      </c>
      <c r="D557" s="5" t="str" cm="1">
        <f t="array" ref="D557">IF(C557="","",C557/LOOKUP(2,1/($C$1:C556&lt;&gt;""),$C$1:C556)-1)</f>
        <v/>
      </c>
    </row>
    <row r="558" spans="1:4" x14ac:dyDescent="0.25">
      <c r="A558" s="1">
        <v>44967</v>
      </c>
      <c r="B558" s="2">
        <v>174.15</v>
      </c>
      <c r="C558">
        <f t="shared" si="8"/>
        <v>174.15</v>
      </c>
      <c r="D558" cm="1">
        <f t="array" ref="D558">IF(C558="","",C558/LOOKUP(2,1/($C$1:C557&lt;&gt;""),$C$1:C557)-1)</f>
        <v>-6.6370020908164906E-2</v>
      </c>
    </row>
    <row r="559" spans="1:4" hidden="1" x14ac:dyDescent="0.25">
      <c r="A559" s="1">
        <v>44970</v>
      </c>
      <c r="B559" s="2">
        <v>179.43</v>
      </c>
      <c r="C559" t="str">
        <f t="shared" si="8"/>
        <v/>
      </c>
      <c r="D559" s="5" t="str" cm="1">
        <f t="array" ref="D559">IF(C559="","",C559/LOOKUP(2,1/($C$1:C558&lt;&gt;""),$C$1:C558)-1)</f>
        <v/>
      </c>
    </row>
    <row r="560" spans="1:4" hidden="1" x14ac:dyDescent="0.25">
      <c r="A560" s="1">
        <v>44971</v>
      </c>
      <c r="B560" s="2">
        <v>179.48</v>
      </c>
      <c r="C560" t="str">
        <f t="shared" si="8"/>
        <v/>
      </c>
      <c r="D560" s="5" t="str" cm="1">
        <f t="array" ref="D560">IF(C560="","",C560/LOOKUP(2,1/($C$1:C559&lt;&gt;""),$C$1:C559)-1)</f>
        <v/>
      </c>
    </row>
    <row r="561" spans="1:4" hidden="1" x14ac:dyDescent="0.25">
      <c r="A561" s="1">
        <v>44972</v>
      </c>
      <c r="B561" s="2">
        <v>177.16</v>
      </c>
      <c r="C561" t="str">
        <f t="shared" si="8"/>
        <v/>
      </c>
      <c r="D561" s="5" t="str" cm="1">
        <f t="array" ref="D561">IF(C561="","",C561/LOOKUP(2,1/($C$1:C560&lt;&gt;""),$C$1:C560)-1)</f>
        <v/>
      </c>
    </row>
    <row r="562" spans="1:4" hidden="1" x14ac:dyDescent="0.25">
      <c r="A562" s="1">
        <v>44973</v>
      </c>
      <c r="B562" s="2">
        <v>172.44</v>
      </c>
      <c r="C562" t="str">
        <f t="shared" si="8"/>
        <v/>
      </c>
      <c r="D562" s="5" t="str" cm="1">
        <f t="array" ref="D562">IF(C562="","",C562/LOOKUP(2,1/($C$1:C561&lt;&gt;""),$C$1:C561)-1)</f>
        <v/>
      </c>
    </row>
    <row r="563" spans="1:4" x14ac:dyDescent="0.25">
      <c r="A563" s="1">
        <v>44974</v>
      </c>
      <c r="B563" s="2">
        <v>172.88</v>
      </c>
      <c r="C563">
        <f t="shared" si="8"/>
        <v>172.88</v>
      </c>
      <c r="D563" cm="1">
        <f t="array" ref="D563">IF(C563="","",C563/LOOKUP(2,1/($C$1:C562&lt;&gt;""),$C$1:C562)-1)</f>
        <v>-7.2925638817111782E-3</v>
      </c>
    </row>
    <row r="564" spans="1:4" hidden="1" x14ac:dyDescent="0.25">
      <c r="A564" s="1">
        <v>44978</v>
      </c>
      <c r="B564" s="2">
        <v>172.08</v>
      </c>
      <c r="C564" t="str">
        <f t="shared" si="8"/>
        <v/>
      </c>
      <c r="D564" s="5" t="str" cm="1">
        <f t="array" ref="D564">IF(C564="","",C564/LOOKUP(2,1/($C$1:C563&lt;&gt;""),$C$1:C563)-1)</f>
        <v/>
      </c>
    </row>
    <row r="565" spans="1:4" hidden="1" x14ac:dyDescent="0.25">
      <c r="A565" s="1">
        <v>44979</v>
      </c>
      <c r="B565" s="2">
        <v>171.12</v>
      </c>
      <c r="C565" t="str">
        <f t="shared" si="8"/>
        <v/>
      </c>
      <c r="D565" s="5" t="str" cm="1">
        <f t="array" ref="D565">IF(C565="","",C565/LOOKUP(2,1/($C$1:C564&lt;&gt;""),$C$1:C564)-1)</f>
        <v/>
      </c>
    </row>
    <row r="566" spans="1:4" hidden="1" x14ac:dyDescent="0.25">
      <c r="A566" s="1">
        <v>44980</v>
      </c>
      <c r="B566" s="2">
        <v>172.04</v>
      </c>
      <c r="C566" t="str">
        <f t="shared" si="8"/>
        <v/>
      </c>
      <c r="D566" s="5" t="str" cm="1">
        <f t="array" ref="D566">IF(C566="","",C566/LOOKUP(2,1/($C$1:C565&lt;&gt;""),$C$1:C565)-1)</f>
        <v/>
      </c>
    </row>
    <row r="567" spans="1:4" x14ac:dyDescent="0.25">
      <c r="A567" s="1">
        <v>44981</v>
      </c>
      <c r="B567" s="2">
        <v>170.39</v>
      </c>
      <c r="C567">
        <f t="shared" si="8"/>
        <v>170.39</v>
      </c>
      <c r="D567" cm="1">
        <f t="array" ref="D567">IF(C567="","",C567/LOOKUP(2,1/($C$1:C566&lt;&gt;""),$C$1:C566)-1)</f>
        <v>-1.4403054141601146E-2</v>
      </c>
    </row>
    <row r="568" spans="1:4" hidden="1" x14ac:dyDescent="0.25">
      <c r="A568" s="1">
        <v>44984</v>
      </c>
      <c r="B568" s="2">
        <v>169.54</v>
      </c>
      <c r="C568" t="str">
        <f t="shared" si="8"/>
        <v/>
      </c>
      <c r="D568" s="5" t="str" cm="1">
        <f t="array" ref="D568">IF(C568="","",C568/LOOKUP(2,1/($C$1:C567&lt;&gt;""),$C$1:C567)-1)</f>
        <v/>
      </c>
    </row>
    <row r="569" spans="1:4" hidden="1" x14ac:dyDescent="0.25">
      <c r="A569" s="1">
        <v>44985</v>
      </c>
      <c r="B569" s="2">
        <v>174.94</v>
      </c>
      <c r="C569" t="str">
        <f t="shared" si="8"/>
        <v/>
      </c>
      <c r="D569" s="5" t="str" cm="1">
        <f t="array" ref="D569">IF(C569="","",C569/LOOKUP(2,1/($C$1:C568&lt;&gt;""),$C$1:C568)-1)</f>
        <v/>
      </c>
    </row>
    <row r="570" spans="1:4" hidden="1" x14ac:dyDescent="0.25">
      <c r="A570" s="1">
        <v>44986</v>
      </c>
      <c r="B570" s="2">
        <v>173.42</v>
      </c>
      <c r="C570" t="str">
        <f t="shared" si="8"/>
        <v/>
      </c>
      <c r="D570" s="5" t="str" cm="1">
        <f t="array" ref="D570">IF(C570="","",C570/LOOKUP(2,1/($C$1:C569&lt;&gt;""),$C$1:C569)-1)</f>
        <v/>
      </c>
    </row>
    <row r="571" spans="1:4" hidden="1" x14ac:dyDescent="0.25">
      <c r="A571" s="1">
        <v>44987</v>
      </c>
      <c r="B571" s="2">
        <v>174.53</v>
      </c>
      <c r="C571" t="str">
        <f t="shared" si="8"/>
        <v/>
      </c>
      <c r="D571" s="5" t="str" cm="1">
        <f t="array" ref="D571">IF(C571="","",C571/LOOKUP(2,1/($C$1:C570&lt;&gt;""),$C$1:C570)-1)</f>
        <v/>
      </c>
    </row>
    <row r="572" spans="1:4" x14ac:dyDescent="0.25">
      <c r="A572" s="1">
        <v>44988</v>
      </c>
      <c r="B572" s="2">
        <v>185.25</v>
      </c>
      <c r="C572">
        <f t="shared" si="8"/>
        <v>185.25</v>
      </c>
      <c r="D572" cm="1">
        <f t="array" ref="D572">IF(C572="","",C572/LOOKUP(2,1/($C$1:C571&lt;&gt;""),$C$1:C571)-1)</f>
        <v>8.721169082692648E-2</v>
      </c>
    </row>
    <row r="573" spans="1:4" hidden="1" x14ac:dyDescent="0.25">
      <c r="A573" s="1">
        <v>44991</v>
      </c>
      <c r="B573" s="2">
        <v>184.9</v>
      </c>
      <c r="C573" t="str">
        <f t="shared" si="8"/>
        <v/>
      </c>
      <c r="D573" s="5" t="str" cm="1">
        <f t="array" ref="D573">IF(C573="","",C573/LOOKUP(2,1/($C$1:C572&lt;&gt;""),$C$1:C572)-1)</f>
        <v/>
      </c>
    </row>
    <row r="574" spans="1:4" hidden="1" x14ac:dyDescent="0.25">
      <c r="A574" s="1">
        <v>44992</v>
      </c>
      <c r="B574" s="2">
        <v>184.51</v>
      </c>
      <c r="C574" t="str">
        <f t="shared" si="8"/>
        <v/>
      </c>
      <c r="D574" s="5" t="str" cm="1">
        <f t="array" ref="D574">IF(C574="","",C574/LOOKUP(2,1/($C$1:C573&lt;&gt;""),$C$1:C573)-1)</f>
        <v/>
      </c>
    </row>
    <row r="575" spans="1:4" hidden="1" x14ac:dyDescent="0.25">
      <c r="A575" s="1">
        <v>44993</v>
      </c>
      <c r="B575" s="2">
        <v>184.97</v>
      </c>
      <c r="C575" t="str">
        <f t="shared" si="8"/>
        <v/>
      </c>
      <c r="D575" s="5" t="str" cm="1">
        <f t="array" ref="D575">IF(C575="","",C575/LOOKUP(2,1/($C$1:C574&lt;&gt;""),$C$1:C574)-1)</f>
        <v/>
      </c>
    </row>
    <row r="576" spans="1:4" hidden="1" x14ac:dyDescent="0.25">
      <c r="A576" s="1">
        <v>44994</v>
      </c>
      <c r="B576" s="2">
        <v>181.69</v>
      </c>
      <c r="C576" t="str">
        <f t="shared" si="8"/>
        <v/>
      </c>
      <c r="D576" s="5" t="str" cm="1">
        <f t="array" ref="D576">IF(C576="","",C576/LOOKUP(2,1/($C$1:C575&lt;&gt;""),$C$1:C575)-1)</f>
        <v/>
      </c>
    </row>
    <row r="577" spans="1:4" x14ac:dyDescent="0.25">
      <c r="A577" s="1">
        <v>44995</v>
      </c>
      <c r="B577" s="2">
        <v>179.51</v>
      </c>
      <c r="C577">
        <f t="shared" si="8"/>
        <v>179.51</v>
      </c>
      <c r="D577" cm="1">
        <f t="array" ref="D577">IF(C577="","",C577/LOOKUP(2,1/($C$1:C576&lt;&gt;""),$C$1:C576)-1)</f>
        <v>-3.0985155195681569E-2</v>
      </c>
    </row>
    <row r="578" spans="1:4" hidden="1" x14ac:dyDescent="0.25">
      <c r="A578" s="1">
        <v>44998</v>
      </c>
      <c r="B578" s="2">
        <v>180.9</v>
      </c>
      <c r="C578" t="str">
        <f t="shared" si="8"/>
        <v/>
      </c>
      <c r="D578" s="5" t="str" cm="1">
        <f t="array" ref="D578">IF(C578="","",C578/LOOKUP(2,1/($C$1:C577&lt;&gt;""),$C$1:C577)-1)</f>
        <v/>
      </c>
    </row>
    <row r="579" spans="1:4" hidden="1" x14ac:dyDescent="0.25">
      <c r="A579" s="1">
        <v>44999</v>
      </c>
      <c r="B579" s="2">
        <v>194.02</v>
      </c>
      <c r="C579" t="str">
        <f t="shared" ref="C579:C642" si="9">IF(WEEKNUM(A579)&lt;&gt;WEEKNUM(A580),B579,"")</f>
        <v/>
      </c>
      <c r="D579" s="5" t="str" cm="1">
        <f t="array" ref="D579">IF(C579="","",C579/LOOKUP(2,1/($C$1:C578&lt;&gt;""),$C$1:C578)-1)</f>
        <v/>
      </c>
    </row>
    <row r="580" spans="1:4" hidden="1" x14ac:dyDescent="0.25">
      <c r="A580" s="1">
        <v>45000</v>
      </c>
      <c r="B580" s="2">
        <v>197.75</v>
      </c>
      <c r="C580" t="str">
        <f t="shared" si="9"/>
        <v/>
      </c>
      <c r="D580" s="5" t="str" cm="1">
        <f t="array" ref="D580">IF(C580="","",C580/LOOKUP(2,1/($C$1:C579&lt;&gt;""),$C$1:C579)-1)</f>
        <v/>
      </c>
    </row>
    <row r="581" spans="1:4" hidden="1" x14ac:dyDescent="0.25">
      <c r="A581" s="1">
        <v>45001</v>
      </c>
      <c r="B581" s="2">
        <v>204.93</v>
      </c>
      <c r="C581" t="str">
        <f t="shared" si="9"/>
        <v/>
      </c>
      <c r="D581" s="5" t="str" cm="1">
        <f t="array" ref="D581">IF(C581="","",C581/LOOKUP(2,1/($C$1:C580&lt;&gt;""),$C$1:C580)-1)</f>
        <v/>
      </c>
    </row>
    <row r="582" spans="1:4" x14ac:dyDescent="0.25">
      <c r="A582" s="1">
        <v>45002</v>
      </c>
      <c r="B582" s="2">
        <v>195.61</v>
      </c>
      <c r="C582">
        <f t="shared" si="9"/>
        <v>195.61</v>
      </c>
      <c r="D582" cm="1">
        <f t="array" ref="D582">IF(C582="","",C582/LOOKUP(2,1/($C$1:C581&lt;&gt;""),$C$1:C581)-1)</f>
        <v>8.9688596735558068E-2</v>
      </c>
    </row>
    <row r="583" spans="1:4" hidden="1" x14ac:dyDescent="0.25">
      <c r="A583" s="1">
        <v>45005</v>
      </c>
      <c r="B583" s="2">
        <v>197.81</v>
      </c>
      <c r="C583" t="str">
        <f t="shared" si="9"/>
        <v/>
      </c>
      <c r="D583" s="5" t="str" cm="1">
        <f t="array" ref="D583">IF(C583="","",C583/LOOKUP(2,1/($C$1:C582&lt;&gt;""),$C$1:C582)-1)</f>
        <v/>
      </c>
    </row>
    <row r="584" spans="1:4" hidden="1" x14ac:dyDescent="0.25">
      <c r="A584" s="1">
        <v>45006</v>
      </c>
      <c r="B584" s="2">
        <v>202.16</v>
      </c>
      <c r="C584" t="str">
        <f t="shared" si="9"/>
        <v/>
      </c>
      <c r="D584" s="5" t="str" cm="1">
        <f t="array" ref="D584">IF(C584="","",C584/LOOKUP(2,1/($C$1:C583&lt;&gt;""),$C$1:C583)-1)</f>
        <v/>
      </c>
    </row>
    <row r="585" spans="1:4" hidden="1" x14ac:dyDescent="0.25">
      <c r="A585" s="1">
        <v>45007</v>
      </c>
      <c r="B585" s="2">
        <v>199.81</v>
      </c>
      <c r="C585" t="str">
        <f t="shared" si="9"/>
        <v/>
      </c>
      <c r="D585" s="5" t="str" cm="1">
        <f t="array" ref="D585">IF(C585="","",C585/LOOKUP(2,1/($C$1:C584&lt;&gt;""),$C$1:C584)-1)</f>
        <v/>
      </c>
    </row>
    <row r="586" spans="1:4" hidden="1" x14ac:dyDescent="0.25">
      <c r="A586" s="1">
        <v>45008</v>
      </c>
      <c r="B586" s="2">
        <v>204.28</v>
      </c>
      <c r="C586" t="str">
        <f t="shared" si="9"/>
        <v/>
      </c>
      <c r="D586" s="5" t="str" cm="1">
        <f t="array" ref="D586">IF(C586="","",C586/LOOKUP(2,1/($C$1:C585&lt;&gt;""),$C$1:C585)-1)</f>
        <v/>
      </c>
    </row>
    <row r="587" spans="1:4" x14ac:dyDescent="0.25">
      <c r="A587" s="1">
        <v>45009</v>
      </c>
      <c r="B587" s="2">
        <v>206.01</v>
      </c>
      <c r="C587">
        <f t="shared" si="9"/>
        <v>206.01</v>
      </c>
      <c r="D587" cm="1">
        <f t="array" ref="D587">IF(C587="","",C587/LOOKUP(2,1/($C$1:C586&lt;&gt;""),$C$1:C586)-1)</f>
        <v>5.3167016001226752E-2</v>
      </c>
    </row>
    <row r="588" spans="1:4" hidden="1" x14ac:dyDescent="0.25">
      <c r="A588" s="1">
        <v>45012</v>
      </c>
      <c r="B588" s="2">
        <v>202.84</v>
      </c>
      <c r="C588" t="str">
        <f t="shared" si="9"/>
        <v/>
      </c>
      <c r="D588" s="5" t="str" cm="1">
        <f t="array" ref="D588">IF(C588="","",C588/LOOKUP(2,1/($C$1:C587&lt;&gt;""),$C$1:C587)-1)</f>
        <v/>
      </c>
    </row>
    <row r="589" spans="1:4" hidden="1" x14ac:dyDescent="0.25">
      <c r="A589" s="1">
        <v>45013</v>
      </c>
      <c r="B589" s="2">
        <v>200.68</v>
      </c>
      <c r="C589" t="str">
        <f t="shared" si="9"/>
        <v/>
      </c>
      <c r="D589" s="5" t="str" cm="1">
        <f t="array" ref="D589">IF(C589="","",C589/LOOKUP(2,1/($C$1:C588&lt;&gt;""),$C$1:C588)-1)</f>
        <v/>
      </c>
    </row>
    <row r="590" spans="1:4" hidden="1" x14ac:dyDescent="0.25">
      <c r="A590" s="1">
        <v>45014</v>
      </c>
      <c r="B590" s="2">
        <v>205.35</v>
      </c>
      <c r="C590" t="str">
        <f t="shared" si="9"/>
        <v/>
      </c>
      <c r="D590" s="5" t="str" cm="1">
        <f t="array" ref="D590">IF(C590="","",C590/LOOKUP(2,1/($C$1:C589&lt;&gt;""),$C$1:C589)-1)</f>
        <v/>
      </c>
    </row>
    <row r="591" spans="1:4" hidden="1" x14ac:dyDescent="0.25">
      <c r="A591" s="1">
        <v>45015</v>
      </c>
      <c r="B591" s="2">
        <v>207.84</v>
      </c>
      <c r="C591" t="str">
        <f t="shared" si="9"/>
        <v/>
      </c>
      <c r="D591" s="5" t="str" cm="1">
        <f t="array" ref="D591">IF(C591="","",C591/LOOKUP(2,1/($C$1:C590&lt;&gt;""),$C$1:C590)-1)</f>
        <v/>
      </c>
    </row>
    <row r="592" spans="1:4" x14ac:dyDescent="0.25">
      <c r="A592" s="1">
        <v>45016</v>
      </c>
      <c r="B592" s="2">
        <v>211.94</v>
      </c>
      <c r="C592">
        <f t="shared" si="9"/>
        <v>211.94</v>
      </c>
      <c r="D592" cm="1">
        <f t="array" ref="D592">IF(C592="","",C592/LOOKUP(2,1/($C$1:C591&lt;&gt;""),$C$1:C591)-1)</f>
        <v>2.8785010436386704E-2</v>
      </c>
    </row>
    <row r="593" spans="1:4" hidden="1" x14ac:dyDescent="0.25">
      <c r="A593" s="1">
        <v>45019</v>
      </c>
      <c r="B593" s="2">
        <v>213.07</v>
      </c>
      <c r="C593" t="str">
        <f t="shared" si="9"/>
        <v/>
      </c>
      <c r="D593" s="5" t="str" cm="1">
        <f t="array" ref="D593">IF(C593="","",C593/LOOKUP(2,1/($C$1:C592&lt;&gt;""),$C$1:C592)-1)</f>
        <v/>
      </c>
    </row>
    <row r="594" spans="1:4" hidden="1" x14ac:dyDescent="0.25">
      <c r="A594" s="1">
        <v>45020</v>
      </c>
      <c r="B594" s="2">
        <v>214.72</v>
      </c>
      <c r="C594" t="str">
        <f t="shared" si="9"/>
        <v/>
      </c>
      <c r="D594" s="5" t="str" cm="1">
        <f t="array" ref="D594">IF(C594="","",C594/LOOKUP(2,1/($C$1:C593&lt;&gt;""),$C$1:C593)-1)</f>
        <v/>
      </c>
    </row>
    <row r="595" spans="1:4" hidden="1" x14ac:dyDescent="0.25">
      <c r="A595" s="1">
        <v>45021</v>
      </c>
      <c r="B595" s="2">
        <v>211.48</v>
      </c>
      <c r="C595" t="str">
        <f t="shared" si="9"/>
        <v/>
      </c>
      <c r="D595" s="5" t="str" cm="1">
        <f t="array" ref="D595">IF(C595="","",C595/LOOKUP(2,1/($C$1:C594&lt;&gt;""),$C$1:C594)-1)</f>
        <v/>
      </c>
    </row>
    <row r="596" spans="1:4" x14ac:dyDescent="0.25">
      <c r="A596" s="1">
        <v>45022</v>
      </c>
      <c r="B596" s="2">
        <v>216.1</v>
      </c>
      <c r="C596">
        <f t="shared" si="9"/>
        <v>216.1</v>
      </c>
      <c r="D596" cm="1">
        <f t="array" ref="D596">IF(C596="","",C596/LOOKUP(2,1/($C$1:C595&lt;&gt;""),$C$1:C595)-1)</f>
        <v>1.9628196659431829E-2</v>
      </c>
    </row>
    <row r="597" spans="1:4" hidden="1" x14ac:dyDescent="0.25">
      <c r="A597" s="1">
        <v>45026</v>
      </c>
      <c r="B597" s="2">
        <v>214.75</v>
      </c>
      <c r="C597" t="str">
        <f t="shared" si="9"/>
        <v/>
      </c>
      <c r="D597" s="5" t="str" cm="1">
        <f t="array" ref="D597">IF(C597="","",C597/LOOKUP(2,1/($C$1:C596&lt;&gt;""),$C$1:C596)-1)</f>
        <v/>
      </c>
    </row>
    <row r="598" spans="1:4" hidden="1" x14ac:dyDescent="0.25">
      <c r="A598" s="1">
        <v>45027</v>
      </c>
      <c r="B598" s="2">
        <v>213.85</v>
      </c>
      <c r="C598" t="str">
        <f t="shared" si="9"/>
        <v/>
      </c>
      <c r="D598" s="5" t="str" cm="1">
        <f t="array" ref="D598">IF(C598="","",C598/LOOKUP(2,1/($C$1:C597&lt;&gt;""),$C$1:C597)-1)</f>
        <v/>
      </c>
    </row>
    <row r="599" spans="1:4" hidden="1" x14ac:dyDescent="0.25">
      <c r="A599" s="1">
        <v>45028</v>
      </c>
      <c r="B599" s="2">
        <v>214</v>
      </c>
      <c r="C599" t="str">
        <f t="shared" si="9"/>
        <v/>
      </c>
      <c r="D599" s="5" t="str" cm="1">
        <f t="array" ref="D599">IF(C599="","",C599/LOOKUP(2,1/($C$1:C598&lt;&gt;""),$C$1:C598)-1)</f>
        <v/>
      </c>
    </row>
    <row r="600" spans="1:4" hidden="1" x14ac:dyDescent="0.25">
      <c r="A600" s="1">
        <v>45029</v>
      </c>
      <c r="B600" s="2">
        <v>220.35</v>
      </c>
      <c r="C600" t="str">
        <f t="shared" si="9"/>
        <v/>
      </c>
      <c r="D600" s="5" t="str" cm="1">
        <f t="array" ref="D600">IF(C600="","",C600/LOOKUP(2,1/($C$1:C599&lt;&gt;""),$C$1:C599)-1)</f>
        <v/>
      </c>
    </row>
    <row r="601" spans="1:4" x14ac:dyDescent="0.25">
      <c r="A601" s="1">
        <v>45030</v>
      </c>
      <c r="B601" s="2">
        <v>221.49</v>
      </c>
      <c r="C601">
        <f t="shared" si="9"/>
        <v>221.49</v>
      </c>
      <c r="D601" cm="1">
        <f t="array" ref="D601">IF(C601="","",C601/LOOKUP(2,1/($C$1:C600&lt;&gt;""),$C$1:C600)-1)</f>
        <v>2.4942156409069938E-2</v>
      </c>
    </row>
    <row r="602" spans="1:4" hidden="1" x14ac:dyDescent="0.25">
      <c r="A602" s="1">
        <v>45033</v>
      </c>
      <c r="B602" s="2">
        <v>218.86</v>
      </c>
      <c r="C602" t="str">
        <f t="shared" si="9"/>
        <v/>
      </c>
      <c r="D602" s="5" t="str" cm="1">
        <f t="array" ref="D602">IF(C602="","",C602/LOOKUP(2,1/($C$1:C601&lt;&gt;""),$C$1:C601)-1)</f>
        <v/>
      </c>
    </row>
    <row r="603" spans="1:4" hidden="1" x14ac:dyDescent="0.25">
      <c r="A603" s="1">
        <v>45034</v>
      </c>
      <c r="B603" s="2">
        <v>217.89</v>
      </c>
      <c r="C603" t="str">
        <f t="shared" si="9"/>
        <v/>
      </c>
      <c r="D603" s="5" t="str" cm="1">
        <f t="array" ref="D603">IF(C603="","",C603/LOOKUP(2,1/($C$1:C602&lt;&gt;""),$C$1:C602)-1)</f>
        <v/>
      </c>
    </row>
    <row r="604" spans="1:4" hidden="1" x14ac:dyDescent="0.25">
      <c r="A604" s="1">
        <v>45035</v>
      </c>
      <c r="B604" s="2">
        <v>215.7</v>
      </c>
      <c r="C604" t="str">
        <f t="shared" si="9"/>
        <v/>
      </c>
      <c r="D604" s="5" t="str" cm="1">
        <f t="array" ref="D604">IF(C604="","",C604/LOOKUP(2,1/($C$1:C603&lt;&gt;""),$C$1:C603)-1)</f>
        <v/>
      </c>
    </row>
    <row r="605" spans="1:4" hidden="1" x14ac:dyDescent="0.25">
      <c r="A605" s="1">
        <v>45036</v>
      </c>
      <c r="B605" s="2">
        <v>213.07</v>
      </c>
      <c r="C605" t="str">
        <f t="shared" si="9"/>
        <v/>
      </c>
      <c r="D605" s="5" t="str" cm="1">
        <f t="array" ref="D605">IF(C605="","",C605/LOOKUP(2,1/($C$1:C604&lt;&gt;""),$C$1:C604)-1)</f>
        <v/>
      </c>
    </row>
    <row r="606" spans="1:4" x14ac:dyDescent="0.25">
      <c r="A606" s="1">
        <v>45037</v>
      </c>
      <c r="B606" s="2">
        <v>212.89</v>
      </c>
      <c r="C606">
        <f t="shared" si="9"/>
        <v>212.89</v>
      </c>
      <c r="D606" cm="1">
        <f t="array" ref="D606">IF(C606="","",C606/LOOKUP(2,1/($C$1:C605&lt;&gt;""),$C$1:C605)-1)</f>
        <v>-3.882793805589424E-2</v>
      </c>
    </row>
    <row r="607" spans="1:4" hidden="1" x14ac:dyDescent="0.25">
      <c r="A607" s="1">
        <v>45040</v>
      </c>
      <c r="B607" s="2">
        <v>212.79</v>
      </c>
      <c r="C607" t="str">
        <f t="shared" si="9"/>
        <v/>
      </c>
      <c r="D607" s="5" t="str" cm="1">
        <f t="array" ref="D607">IF(C607="","",C607/LOOKUP(2,1/($C$1:C606&lt;&gt;""),$C$1:C606)-1)</f>
        <v/>
      </c>
    </row>
    <row r="608" spans="1:4" hidden="1" x14ac:dyDescent="0.25">
      <c r="A608" s="1">
        <v>45041</v>
      </c>
      <c r="B608" s="2">
        <v>207.55</v>
      </c>
      <c r="C608" t="str">
        <f t="shared" si="9"/>
        <v/>
      </c>
      <c r="D608" s="5" t="str" cm="1">
        <f t="array" ref="D608">IF(C608="","",C608/LOOKUP(2,1/($C$1:C607&lt;&gt;""),$C$1:C607)-1)</f>
        <v/>
      </c>
    </row>
    <row r="609" spans="1:4" hidden="1" x14ac:dyDescent="0.25">
      <c r="A609" s="1">
        <v>45042</v>
      </c>
      <c r="B609" s="2">
        <v>209.4</v>
      </c>
      <c r="C609" t="str">
        <f t="shared" si="9"/>
        <v/>
      </c>
      <c r="D609" s="5" t="str" cm="1">
        <f t="array" ref="D609">IF(C609="","",C609/LOOKUP(2,1/($C$1:C608&lt;&gt;""),$C$1:C608)-1)</f>
        <v/>
      </c>
    </row>
    <row r="610" spans="1:4" hidden="1" x14ac:dyDescent="0.25">
      <c r="A610" s="1">
        <v>45043</v>
      </c>
      <c r="B610" s="2">
        <v>238.56</v>
      </c>
      <c r="C610" t="str">
        <f t="shared" si="9"/>
        <v/>
      </c>
      <c r="D610" s="5" t="str" cm="1">
        <f t="array" ref="D610">IF(C610="","",C610/LOOKUP(2,1/($C$1:C609&lt;&gt;""),$C$1:C609)-1)</f>
        <v/>
      </c>
    </row>
    <row r="611" spans="1:4" x14ac:dyDescent="0.25">
      <c r="A611" s="1">
        <v>45044</v>
      </c>
      <c r="B611" s="2">
        <v>240.32</v>
      </c>
      <c r="C611">
        <f t="shared" si="9"/>
        <v>240.32</v>
      </c>
      <c r="D611" cm="1">
        <f t="array" ref="D611">IF(C611="","",C611/LOOKUP(2,1/($C$1:C610&lt;&gt;""),$C$1:C610)-1)</f>
        <v>0.1288458828502983</v>
      </c>
    </row>
    <row r="612" spans="1:4" hidden="1" x14ac:dyDescent="0.25">
      <c r="A612" s="1">
        <v>45047</v>
      </c>
      <c r="B612" s="2">
        <v>243.18</v>
      </c>
      <c r="C612" t="str">
        <f t="shared" si="9"/>
        <v/>
      </c>
      <c r="D612" s="5" t="str" cm="1">
        <f t="array" ref="D612">IF(C612="","",C612/LOOKUP(2,1/($C$1:C611&lt;&gt;""),$C$1:C611)-1)</f>
        <v/>
      </c>
    </row>
    <row r="613" spans="1:4" hidden="1" x14ac:dyDescent="0.25">
      <c r="A613" s="1">
        <v>45048</v>
      </c>
      <c r="B613" s="2">
        <v>239.24</v>
      </c>
      <c r="C613" t="str">
        <f t="shared" si="9"/>
        <v/>
      </c>
      <c r="D613" s="5" t="str" cm="1">
        <f t="array" ref="D613">IF(C613="","",C613/LOOKUP(2,1/($C$1:C612&lt;&gt;""),$C$1:C612)-1)</f>
        <v/>
      </c>
    </row>
    <row r="614" spans="1:4" hidden="1" x14ac:dyDescent="0.25">
      <c r="A614" s="1">
        <v>45049</v>
      </c>
      <c r="B614" s="2">
        <v>237.03</v>
      </c>
      <c r="C614" t="str">
        <f t="shared" si="9"/>
        <v/>
      </c>
      <c r="D614" s="5" t="str" cm="1">
        <f t="array" ref="D614">IF(C614="","",C614/LOOKUP(2,1/($C$1:C613&lt;&gt;""),$C$1:C613)-1)</f>
        <v/>
      </c>
    </row>
    <row r="615" spans="1:4" hidden="1" x14ac:dyDescent="0.25">
      <c r="A615" s="1">
        <v>45050</v>
      </c>
      <c r="B615" s="2">
        <v>233.52</v>
      </c>
      <c r="C615" t="str">
        <f t="shared" si="9"/>
        <v/>
      </c>
      <c r="D615" s="5" t="str" cm="1">
        <f t="array" ref="D615">IF(C615="","",C615/LOOKUP(2,1/($C$1:C614&lt;&gt;""),$C$1:C614)-1)</f>
        <v/>
      </c>
    </row>
    <row r="616" spans="1:4" x14ac:dyDescent="0.25">
      <c r="A616" s="1">
        <v>45051</v>
      </c>
      <c r="B616" s="2">
        <v>232.78</v>
      </c>
      <c r="C616">
        <f t="shared" si="9"/>
        <v>232.78</v>
      </c>
      <c r="D616" cm="1">
        <f t="array" ref="D616">IF(C616="","",C616/LOOKUP(2,1/($C$1:C615&lt;&gt;""),$C$1:C615)-1)</f>
        <v>-3.1374833555259607E-2</v>
      </c>
    </row>
    <row r="617" spans="1:4" hidden="1" x14ac:dyDescent="0.25">
      <c r="A617" s="1">
        <v>45054</v>
      </c>
      <c r="B617" s="2">
        <v>233.27</v>
      </c>
      <c r="C617" t="str">
        <f t="shared" si="9"/>
        <v/>
      </c>
      <c r="D617" s="5" t="str" cm="1">
        <f t="array" ref="D617">IF(C617="","",C617/LOOKUP(2,1/($C$1:C616&lt;&gt;""),$C$1:C616)-1)</f>
        <v/>
      </c>
    </row>
    <row r="618" spans="1:4" hidden="1" x14ac:dyDescent="0.25">
      <c r="A618" s="1">
        <v>45055</v>
      </c>
      <c r="B618" s="2">
        <v>233.37</v>
      </c>
      <c r="C618" t="str">
        <f t="shared" si="9"/>
        <v/>
      </c>
      <c r="D618" s="5" t="str" cm="1">
        <f t="array" ref="D618">IF(C618="","",C618/LOOKUP(2,1/($C$1:C617&lt;&gt;""),$C$1:C617)-1)</f>
        <v/>
      </c>
    </row>
    <row r="619" spans="1:4" hidden="1" x14ac:dyDescent="0.25">
      <c r="A619" s="1">
        <v>45056</v>
      </c>
      <c r="B619" s="2">
        <v>233.08</v>
      </c>
      <c r="C619" t="str">
        <f t="shared" si="9"/>
        <v/>
      </c>
      <c r="D619" s="5" t="str" cm="1">
        <f t="array" ref="D619">IF(C619="","",C619/LOOKUP(2,1/($C$1:C618&lt;&gt;""),$C$1:C618)-1)</f>
        <v/>
      </c>
    </row>
    <row r="620" spans="1:4" hidden="1" x14ac:dyDescent="0.25">
      <c r="A620" s="1">
        <v>45057</v>
      </c>
      <c r="B620" s="2">
        <v>235.79</v>
      </c>
      <c r="C620" t="str">
        <f t="shared" si="9"/>
        <v/>
      </c>
      <c r="D620" s="5" t="str" cm="1">
        <f t="array" ref="D620">IF(C620="","",C620/LOOKUP(2,1/($C$1:C619&lt;&gt;""),$C$1:C619)-1)</f>
        <v/>
      </c>
    </row>
    <row r="621" spans="1:4" x14ac:dyDescent="0.25">
      <c r="A621" s="1">
        <v>45058</v>
      </c>
      <c r="B621" s="2">
        <v>233.81</v>
      </c>
      <c r="C621">
        <f t="shared" si="9"/>
        <v>233.81</v>
      </c>
      <c r="D621" cm="1">
        <f t="array" ref="D621">IF(C621="","",C621/LOOKUP(2,1/($C$1:C620&lt;&gt;""),$C$1:C620)-1)</f>
        <v>4.4247787610618428E-3</v>
      </c>
    </row>
    <row r="622" spans="1:4" hidden="1" x14ac:dyDescent="0.25">
      <c r="A622" s="1">
        <v>45061</v>
      </c>
      <c r="B622" s="2">
        <v>238.86</v>
      </c>
      <c r="C622" t="str">
        <f t="shared" si="9"/>
        <v/>
      </c>
      <c r="D622" s="5" t="str" cm="1">
        <f t="array" ref="D622">IF(C622="","",C622/LOOKUP(2,1/($C$1:C621&lt;&gt;""),$C$1:C621)-1)</f>
        <v/>
      </c>
    </row>
    <row r="623" spans="1:4" hidden="1" x14ac:dyDescent="0.25">
      <c r="A623" s="1">
        <v>45062</v>
      </c>
      <c r="B623" s="2">
        <v>238.82</v>
      </c>
      <c r="C623" t="str">
        <f t="shared" si="9"/>
        <v/>
      </c>
      <c r="D623" s="5" t="str" cm="1">
        <f t="array" ref="D623">IF(C623="","",C623/LOOKUP(2,1/($C$1:C622&lt;&gt;""),$C$1:C622)-1)</f>
        <v/>
      </c>
    </row>
    <row r="624" spans="1:4" hidden="1" x14ac:dyDescent="0.25">
      <c r="A624" s="1">
        <v>45063</v>
      </c>
      <c r="B624" s="2">
        <v>242.48500000000001</v>
      </c>
      <c r="C624" t="str">
        <f t="shared" si="9"/>
        <v/>
      </c>
      <c r="D624" s="5" t="str" cm="1">
        <f t="array" ref="D624">IF(C624="","",C624/LOOKUP(2,1/($C$1:C623&lt;&gt;""),$C$1:C623)-1)</f>
        <v/>
      </c>
    </row>
    <row r="625" spans="1:4" hidden="1" x14ac:dyDescent="0.25">
      <c r="A625" s="1">
        <v>45064</v>
      </c>
      <c r="B625" s="2">
        <v>246.85</v>
      </c>
      <c r="C625" t="str">
        <f t="shared" si="9"/>
        <v/>
      </c>
      <c r="D625" s="5" t="str" cm="1">
        <f t="array" ref="D625">IF(C625="","",C625/LOOKUP(2,1/($C$1:C624&lt;&gt;""),$C$1:C624)-1)</f>
        <v/>
      </c>
    </row>
    <row r="626" spans="1:4" x14ac:dyDescent="0.25">
      <c r="A626" s="1">
        <v>45065</v>
      </c>
      <c r="B626" s="2">
        <v>245.64</v>
      </c>
      <c r="C626">
        <f t="shared" si="9"/>
        <v>245.64</v>
      </c>
      <c r="D626" cm="1">
        <f t="array" ref="D626">IF(C626="","",C626/LOOKUP(2,1/($C$1:C625&lt;&gt;""),$C$1:C625)-1)</f>
        <v>5.0596638296052321E-2</v>
      </c>
    </row>
    <row r="627" spans="1:4" hidden="1" x14ac:dyDescent="0.25">
      <c r="A627" s="1">
        <v>45068</v>
      </c>
      <c r="B627" s="2">
        <v>248.32</v>
      </c>
      <c r="C627" t="str">
        <f t="shared" si="9"/>
        <v/>
      </c>
      <c r="D627" s="5" t="str" cm="1">
        <f t="array" ref="D627">IF(C627="","",C627/LOOKUP(2,1/($C$1:C626&lt;&gt;""),$C$1:C626)-1)</f>
        <v/>
      </c>
    </row>
    <row r="628" spans="1:4" hidden="1" x14ac:dyDescent="0.25">
      <c r="A628" s="1">
        <v>45069</v>
      </c>
      <c r="B628" s="2">
        <v>246.74</v>
      </c>
      <c r="C628" t="str">
        <f t="shared" si="9"/>
        <v/>
      </c>
      <c r="D628" s="5" t="str" cm="1">
        <f t="array" ref="D628">IF(C628="","",C628/LOOKUP(2,1/($C$1:C627&lt;&gt;""),$C$1:C627)-1)</f>
        <v/>
      </c>
    </row>
    <row r="629" spans="1:4" hidden="1" x14ac:dyDescent="0.25">
      <c r="A629" s="1">
        <v>45070</v>
      </c>
      <c r="B629" s="2">
        <v>249.21</v>
      </c>
      <c r="C629" t="str">
        <f t="shared" si="9"/>
        <v/>
      </c>
      <c r="D629" s="5" t="str" cm="1">
        <f t="array" ref="D629">IF(C629="","",C629/LOOKUP(2,1/($C$1:C628&lt;&gt;""),$C$1:C628)-1)</f>
        <v/>
      </c>
    </row>
    <row r="630" spans="1:4" hidden="1" x14ac:dyDescent="0.25">
      <c r="A630" s="1">
        <v>45071</v>
      </c>
      <c r="B630" s="2">
        <v>252.69</v>
      </c>
      <c r="C630" t="str">
        <f t="shared" si="9"/>
        <v/>
      </c>
      <c r="D630" s="5" t="str" cm="1">
        <f t="array" ref="D630">IF(C630="","",C630/LOOKUP(2,1/($C$1:C629&lt;&gt;""),$C$1:C629)-1)</f>
        <v/>
      </c>
    </row>
    <row r="631" spans="1:4" x14ac:dyDescent="0.25">
      <c r="A631" s="1">
        <v>45072</v>
      </c>
      <c r="B631" s="2">
        <v>262.04000000000002</v>
      </c>
      <c r="C631">
        <f t="shared" si="9"/>
        <v>262.04000000000002</v>
      </c>
      <c r="D631" cm="1">
        <f t="array" ref="D631">IF(C631="","",C631/LOOKUP(2,1/($C$1:C630&lt;&gt;""),$C$1:C630)-1)</f>
        <v>6.6764370623677127E-2</v>
      </c>
    </row>
    <row r="632" spans="1:4" hidden="1" x14ac:dyDescent="0.25">
      <c r="A632" s="1">
        <v>45076</v>
      </c>
      <c r="B632" s="2">
        <v>262.52</v>
      </c>
      <c r="C632" t="str">
        <f t="shared" si="9"/>
        <v/>
      </c>
      <c r="D632" s="5" t="str" cm="1">
        <f t="array" ref="D632">IF(C632="","",C632/LOOKUP(2,1/($C$1:C631&lt;&gt;""),$C$1:C631)-1)</f>
        <v/>
      </c>
    </row>
    <row r="633" spans="1:4" hidden="1" x14ac:dyDescent="0.25">
      <c r="A633" s="1">
        <v>45077</v>
      </c>
      <c r="B633" s="2">
        <v>264.72000000000003</v>
      </c>
      <c r="C633" t="str">
        <f t="shared" si="9"/>
        <v/>
      </c>
      <c r="D633" s="5" t="str" cm="1">
        <f t="array" ref="D633">IF(C633="","",C633/LOOKUP(2,1/($C$1:C632&lt;&gt;""),$C$1:C632)-1)</f>
        <v/>
      </c>
    </row>
    <row r="634" spans="1:4" hidden="1" x14ac:dyDescent="0.25">
      <c r="A634" s="1">
        <v>45078</v>
      </c>
      <c r="B634" s="2">
        <v>272.61</v>
      </c>
      <c r="C634" t="str">
        <f t="shared" si="9"/>
        <v/>
      </c>
      <c r="D634" s="5" t="str" cm="1">
        <f t="array" ref="D634">IF(C634="","",C634/LOOKUP(2,1/($C$1:C633&lt;&gt;""),$C$1:C633)-1)</f>
        <v/>
      </c>
    </row>
    <row r="635" spans="1:4" x14ac:dyDescent="0.25">
      <c r="A635" s="1">
        <v>45079</v>
      </c>
      <c r="B635" s="2">
        <v>272.61</v>
      </c>
      <c r="C635">
        <f t="shared" si="9"/>
        <v>272.61</v>
      </c>
      <c r="D635" cm="1">
        <f t="array" ref="D635">IF(C635="","",C635/LOOKUP(2,1/($C$1:C634&lt;&gt;""),$C$1:C634)-1)</f>
        <v>4.0337353075866167E-2</v>
      </c>
    </row>
    <row r="636" spans="1:4" hidden="1" x14ac:dyDescent="0.25">
      <c r="A636" s="1">
        <v>45082</v>
      </c>
      <c r="B636" s="2">
        <v>271.39</v>
      </c>
      <c r="C636" t="str">
        <f t="shared" si="9"/>
        <v/>
      </c>
      <c r="D636" s="5" t="str" cm="1">
        <f t="array" ref="D636">IF(C636="","",C636/LOOKUP(2,1/($C$1:C635&lt;&gt;""),$C$1:C635)-1)</f>
        <v/>
      </c>
    </row>
    <row r="637" spans="1:4" hidden="1" x14ac:dyDescent="0.25">
      <c r="A637" s="1">
        <v>45083</v>
      </c>
      <c r="B637" s="2">
        <v>271.12</v>
      </c>
      <c r="C637" t="str">
        <f t="shared" si="9"/>
        <v/>
      </c>
      <c r="D637" s="5" t="str" cm="1">
        <f t="array" ref="D637">IF(C637="","",C637/LOOKUP(2,1/($C$1:C636&lt;&gt;""),$C$1:C636)-1)</f>
        <v/>
      </c>
    </row>
    <row r="638" spans="1:4" hidden="1" x14ac:dyDescent="0.25">
      <c r="A638" s="1">
        <v>45084</v>
      </c>
      <c r="B638" s="2">
        <v>263.60000000000002</v>
      </c>
      <c r="C638" t="str">
        <f t="shared" si="9"/>
        <v/>
      </c>
      <c r="D638" s="5" t="str" cm="1">
        <f t="array" ref="D638">IF(C638="","",C638/LOOKUP(2,1/($C$1:C637&lt;&gt;""),$C$1:C637)-1)</f>
        <v/>
      </c>
    </row>
    <row r="639" spans="1:4" hidden="1" x14ac:dyDescent="0.25">
      <c r="A639" s="1">
        <v>45085</v>
      </c>
      <c r="B639" s="2">
        <v>264.58</v>
      </c>
      <c r="C639" t="str">
        <f t="shared" si="9"/>
        <v/>
      </c>
      <c r="D639" s="5" t="str" cm="1">
        <f t="array" ref="D639">IF(C639="","",C639/LOOKUP(2,1/($C$1:C638&lt;&gt;""),$C$1:C638)-1)</f>
        <v/>
      </c>
    </row>
    <row r="640" spans="1:4" x14ac:dyDescent="0.25">
      <c r="A640" s="1">
        <v>45086</v>
      </c>
      <c r="B640" s="2">
        <v>264.95</v>
      </c>
      <c r="C640">
        <f t="shared" si="9"/>
        <v>264.95</v>
      </c>
      <c r="D640" cm="1">
        <f t="array" ref="D640">IF(C640="","",C640/LOOKUP(2,1/($C$1:C639&lt;&gt;""),$C$1:C639)-1)</f>
        <v>-2.8098749128792178E-2</v>
      </c>
    </row>
    <row r="641" spans="1:4" hidden="1" x14ac:dyDescent="0.25">
      <c r="A641" s="1">
        <v>45089</v>
      </c>
      <c r="B641" s="2">
        <v>271.05</v>
      </c>
      <c r="C641" t="str">
        <f t="shared" si="9"/>
        <v/>
      </c>
      <c r="D641" s="5" t="str" cm="1">
        <f t="array" ref="D641">IF(C641="","",C641/LOOKUP(2,1/($C$1:C640&lt;&gt;""),$C$1:C640)-1)</f>
        <v/>
      </c>
    </row>
    <row r="642" spans="1:4" hidden="1" x14ac:dyDescent="0.25">
      <c r="A642" s="1">
        <v>45090</v>
      </c>
      <c r="B642" s="2">
        <v>271.32</v>
      </c>
      <c r="C642" t="str">
        <f t="shared" si="9"/>
        <v/>
      </c>
      <c r="D642" s="5" t="str" cm="1">
        <f t="array" ref="D642">IF(C642="","",C642/LOOKUP(2,1/($C$1:C641&lt;&gt;""),$C$1:C641)-1)</f>
        <v/>
      </c>
    </row>
    <row r="643" spans="1:4" hidden="1" x14ac:dyDescent="0.25">
      <c r="A643" s="1">
        <v>45091</v>
      </c>
      <c r="B643" s="2">
        <v>273.35000000000002</v>
      </c>
      <c r="C643" t="str">
        <f t="shared" ref="C643:C706" si="10">IF(WEEKNUM(A643)&lt;&gt;WEEKNUM(A644),B643,"")</f>
        <v/>
      </c>
      <c r="D643" s="5" t="str" cm="1">
        <f t="array" ref="D643">IF(C643="","",C643/LOOKUP(2,1/($C$1:C642&lt;&gt;""),$C$1:C642)-1)</f>
        <v/>
      </c>
    </row>
    <row r="644" spans="1:4" hidden="1" x14ac:dyDescent="0.25">
      <c r="A644" s="1">
        <v>45092</v>
      </c>
      <c r="B644" s="2">
        <v>281.83</v>
      </c>
      <c r="C644" t="str">
        <f t="shared" si="10"/>
        <v/>
      </c>
      <c r="D644" s="5" t="str" cm="1">
        <f t="array" ref="D644">IF(C644="","",C644/LOOKUP(2,1/($C$1:C643&lt;&gt;""),$C$1:C643)-1)</f>
        <v/>
      </c>
    </row>
    <row r="645" spans="1:4" x14ac:dyDescent="0.25">
      <c r="A645" s="1">
        <v>45093</v>
      </c>
      <c r="B645" s="2">
        <v>281</v>
      </c>
      <c r="C645">
        <f t="shared" si="10"/>
        <v>281</v>
      </c>
      <c r="D645" cm="1">
        <f t="array" ref="D645">IF(C645="","",C645/LOOKUP(2,1/($C$1:C644&lt;&gt;""),$C$1:C644)-1)</f>
        <v>6.0577467446688127E-2</v>
      </c>
    </row>
    <row r="646" spans="1:4" hidden="1" x14ac:dyDescent="0.25">
      <c r="A646" s="1">
        <v>45097</v>
      </c>
      <c r="B646" s="2">
        <v>284.33</v>
      </c>
      <c r="C646" t="str">
        <f t="shared" si="10"/>
        <v/>
      </c>
      <c r="D646" s="5" t="str" cm="1">
        <f t="array" ref="D646">IF(C646="","",C646/LOOKUP(2,1/($C$1:C645&lt;&gt;""),$C$1:C645)-1)</f>
        <v/>
      </c>
    </row>
    <row r="647" spans="1:4" hidden="1" x14ac:dyDescent="0.25">
      <c r="A647" s="1">
        <v>45098</v>
      </c>
      <c r="B647" s="2">
        <v>281.64</v>
      </c>
      <c r="C647" t="str">
        <f t="shared" si="10"/>
        <v/>
      </c>
      <c r="D647" s="5" t="str" cm="1">
        <f t="array" ref="D647">IF(C647="","",C647/LOOKUP(2,1/($C$1:C646&lt;&gt;""),$C$1:C646)-1)</f>
        <v/>
      </c>
    </row>
    <row r="648" spans="1:4" hidden="1" x14ac:dyDescent="0.25">
      <c r="A648" s="1">
        <v>45099</v>
      </c>
      <c r="B648" s="2">
        <v>284.88</v>
      </c>
      <c r="C648" t="str">
        <f t="shared" si="10"/>
        <v/>
      </c>
      <c r="D648" s="5" t="str" cm="1">
        <f t="array" ref="D648">IF(C648="","",C648/LOOKUP(2,1/($C$1:C647&lt;&gt;""),$C$1:C647)-1)</f>
        <v/>
      </c>
    </row>
    <row r="649" spans="1:4" x14ac:dyDescent="0.25">
      <c r="A649" s="1">
        <v>45100</v>
      </c>
      <c r="B649" s="2">
        <v>288.73</v>
      </c>
      <c r="C649">
        <f t="shared" si="10"/>
        <v>288.73</v>
      </c>
      <c r="D649" cm="1">
        <f t="array" ref="D649">IF(C649="","",C649/LOOKUP(2,1/($C$1:C648&lt;&gt;""),$C$1:C648)-1)</f>
        <v>2.7508896797153071E-2</v>
      </c>
    </row>
    <row r="650" spans="1:4" hidden="1" x14ac:dyDescent="0.25">
      <c r="A650" s="1">
        <v>45103</v>
      </c>
      <c r="B650" s="2">
        <v>278.47000000000003</v>
      </c>
      <c r="C650" t="str">
        <f t="shared" si="10"/>
        <v/>
      </c>
      <c r="D650" s="5" t="str" cm="1">
        <f t="array" ref="D650">IF(C650="","",C650/LOOKUP(2,1/($C$1:C649&lt;&gt;""),$C$1:C649)-1)</f>
        <v/>
      </c>
    </row>
    <row r="651" spans="1:4" hidden="1" x14ac:dyDescent="0.25">
      <c r="A651" s="1">
        <v>45104</v>
      </c>
      <c r="B651" s="2">
        <v>287.05</v>
      </c>
      <c r="C651" t="str">
        <f t="shared" si="10"/>
        <v/>
      </c>
      <c r="D651" s="5" t="str" cm="1">
        <f t="array" ref="D651">IF(C651="","",C651/LOOKUP(2,1/($C$1:C650&lt;&gt;""),$C$1:C650)-1)</f>
        <v/>
      </c>
    </row>
    <row r="652" spans="1:4" hidden="1" x14ac:dyDescent="0.25">
      <c r="A652" s="1">
        <v>45105</v>
      </c>
      <c r="B652" s="2">
        <v>285.29000000000002</v>
      </c>
      <c r="C652" t="str">
        <f t="shared" si="10"/>
        <v/>
      </c>
      <c r="D652" s="5" t="str" cm="1">
        <f t="array" ref="D652">IF(C652="","",C652/LOOKUP(2,1/($C$1:C651&lt;&gt;""),$C$1:C651)-1)</f>
        <v/>
      </c>
    </row>
    <row r="653" spans="1:4" hidden="1" x14ac:dyDescent="0.25">
      <c r="A653" s="1">
        <v>45106</v>
      </c>
      <c r="B653" s="2">
        <v>281.52999999999997</v>
      </c>
      <c r="C653" t="str">
        <f t="shared" si="10"/>
        <v/>
      </c>
      <c r="D653" s="5" t="str" cm="1">
        <f t="array" ref="D653">IF(C653="","",C653/LOOKUP(2,1/($C$1:C652&lt;&gt;""),$C$1:C652)-1)</f>
        <v/>
      </c>
    </row>
    <row r="654" spans="1:4" x14ac:dyDescent="0.25">
      <c r="A654" s="1">
        <v>45107</v>
      </c>
      <c r="B654" s="2">
        <v>286.98</v>
      </c>
      <c r="C654">
        <f t="shared" si="10"/>
        <v>286.98</v>
      </c>
      <c r="D654" cm="1">
        <f t="array" ref="D654">IF(C654="","",C654/LOOKUP(2,1/($C$1:C653&lt;&gt;""),$C$1:C653)-1)</f>
        <v>-6.0610258719218102E-3</v>
      </c>
    </row>
    <row r="655" spans="1:4" hidden="1" x14ac:dyDescent="0.25">
      <c r="A655" s="1">
        <v>45110</v>
      </c>
      <c r="B655" s="2">
        <v>286.02</v>
      </c>
      <c r="C655" t="str">
        <f t="shared" si="10"/>
        <v/>
      </c>
      <c r="D655" s="5" t="str" cm="1">
        <f t="array" ref="D655">IF(C655="","",C655/LOOKUP(2,1/($C$1:C654&lt;&gt;""),$C$1:C654)-1)</f>
        <v/>
      </c>
    </row>
    <row r="656" spans="1:4" hidden="1" x14ac:dyDescent="0.25">
      <c r="A656" s="1">
        <v>45112</v>
      </c>
      <c r="B656" s="2">
        <v>294.37</v>
      </c>
      <c r="C656" t="str">
        <f t="shared" si="10"/>
        <v/>
      </c>
      <c r="D656" s="5" t="str" cm="1">
        <f t="array" ref="D656">IF(C656="","",C656/LOOKUP(2,1/($C$1:C655&lt;&gt;""),$C$1:C655)-1)</f>
        <v/>
      </c>
    </row>
    <row r="657" spans="1:4" hidden="1" x14ac:dyDescent="0.25">
      <c r="A657" s="1">
        <v>45113</v>
      </c>
      <c r="B657" s="2">
        <v>291.99</v>
      </c>
      <c r="C657" t="str">
        <f t="shared" si="10"/>
        <v/>
      </c>
      <c r="D657" s="5" t="str" cm="1">
        <f t="array" ref="D657">IF(C657="","",C657/LOOKUP(2,1/($C$1:C656&lt;&gt;""),$C$1:C656)-1)</f>
        <v/>
      </c>
    </row>
    <row r="658" spans="1:4" x14ac:dyDescent="0.25">
      <c r="A658" s="1">
        <v>45114</v>
      </c>
      <c r="B658" s="2">
        <v>290.52999999999997</v>
      </c>
      <c r="C658">
        <f t="shared" si="10"/>
        <v>290.52999999999997</v>
      </c>
      <c r="D658" cm="1">
        <f t="array" ref="D658">IF(C658="","",C658/LOOKUP(2,1/($C$1:C657&lt;&gt;""),$C$1:C657)-1)</f>
        <v>1.2370200013938071E-2</v>
      </c>
    </row>
    <row r="659" spans="1:4" hidden="1" x14ac:dyDescent="0.25">
      <c r="A659" s="1">
        <v>45117</v>
      </c>
      <c r="B659" s="2">
        <v>294.10000000000002</v>
      </c>
      <c r="C659" t="str">
        <f t="shared" si="10"/>
        <v/>
      </c>
      <c r="D659" s="5" t="str" cm="1">
        <f t="array" ref="D659">IF(C659="","",C659/LOOKUP(2,1/($C$1:C658&lt;&gt;""),$C$1:C658)-1)</f>
        <v/>
      </c>
    </row>
    <row r="660" spans="1:4" hidden="1" x14ac:dyDescent="0.25">
      <c r="A660" s="1">
        <v>45118</v>
      </c>
      <c r="B660" s="2">
        <v>298.29000000000002</v>
      </c>
      <c r="C660" t="str">
        <f t="shared" si="10"/>
        <v/>
      </c>
      <c r="D660" s="5" t="str" cm="1">
        <f t="array" ref="D660">IF(C660="","",C660/LOOKUP(2,1/($C$1:C659&lt;&gt;""),$C$1:C659)-1)</f>
        <v/>
      </c>
    </row>
    <row r="661" spans="1:4" hidden="1" x14ac:dyDescent="0.25">
      <c r="A661" s="1">
        <v>45119</v>
      </c>
      <c r="B661" s="2">
        <v>309.33999999999997</v>
      </c>
      <c r="C661" t="str">
        <f t="shared" si="10"/>
        <v/>
      </c>
      <c r="D661" s="5" t="str" cm="1">
        <f t="array" ref="D661">IF(C661="","",C661/LOOKUP(2,1/($C$1:C660&lt;&gt;""),$C$1:C660)-1)</f>
        <v/>
      </c>
    </row>
    <row r="662" spans="1:4" hidden="1" x14ac:dyDescent="0.25">
      <c r="A662" s="1">
        <v>45120</v>
      </c>
      <c r="B662" s="2">
        <v>313.41000000000003</v>
      </c>
      <c r="C662" t="str">
        <f t="shared" si="10"/>
        <v/>
      </c>
      <c r="D662" s="5" t="str" cm="1">
        <f t="array" ref="D662">IF(C662="","",C662/LOOKUP(2,1/($C$1:C661&lt;&gt;""),$C$1:C661)-1)</f>
        <v/>
      </c>
    </row>
    <row r="663" spans="1:4" x14ac:dyDescent="0.25">
      <c r="A663" s="1">
        <v>45121</v>
      </c>
      <c r="B663" s="2">
        <v>308.87</v>
      </c>
      <c r="C663">
        <f t="shared" si="10"/>
        <v>308.87</v>
      </c>
      <c r="D663" cm="1">
        <f t="array" ref="D663">IF(C663="","",C663/LOOKUP(2,1/($C$1:C662&lt;&gt;""),$C$1:C662)-1)</f>
        <v>6.3126011083192823E-2</v>
      </c>
    </row>
    <row r="664" spans="1:4" hidden="1" x14ac:dyDescent="0.25">
      <c r="A664" s="1">
        <v>45124</v>
      </c>
      <c r="B664" s="2">
        <v>310.62</v>
      </c>
      <c r="C664" t="str">
        <f t="shared" si="10"/>
        <v/>
      </c>
      <c r="D664" s="5" t="str" cm="1">
        <f t="array" ref="D664">IF(C664="","",C664/LOOKUP(2,1/($C$1:C663&lt;&gt;""),$C$1:C663)-1)</f>
        <v/>
      </c>
    </row>
    <row r="665" spans="1:4" hidden="1" x14ac:dyDescent="0.25">
      <c r="A665" s="1">
        <v>45125</v>
      </c>
      <c r="B665" s="2">
        <v>312.05</v>
      </c>
      <c r="C665" t="str">
        <f t="shared" si="10"/>
        <v/>
      </c>
      <c r="D665" s="5" t="str" cm="1">
        <f t="array" ref="D665">IF(C665="","",C665/LOOKUP(2,1/($C$1:C664&lt;&gt;""),$C$1:C664)-1)</f>
        <v/>
      </c>
    </row>
    <row r="666" spans="1:4" hidden="1" x14ac:dyDescent="0.25">
      <c r="A666" s="1">
        <v>45126</v>
      </c>
      <c r="B666" s="2">
        <v>316.01</v>
      </c>
      <c r="C666" t="str">
        <f t="shared" si="10"/>
        <v/>
      </c>
      <c r="D666" s="5" t="str" cm="1">
        <f t="array" ref="D666">IF(C666="","",C666/LOOKUP(2,1/($C$1:C665&lt;&gt;""),$C$1:C665)-1)</f>
        <v/>
      </c>
    </row>
    <row r="667" spans="1:4" hidden="1" x14ac:dyDescent="0.25">
      <c r="A667" s="1">
        <v>45127</v>
      </c>
      <c r="B667" s="2">
        <v>302.52</v>
      </c>
      <c r="C667" t="str">
        <f t="shared" si="10"/>
        <v/>
      </c>
      <c r="D667" s="5" t="str" cm="1">
        <f t="array" ref="D667">IF(C667="","",C667/LOOKUP(2,1/($C$1:C666&lt;&gt;""),$C$1:C666)-1)</f>
        <v/>
      </c>
    </row>
    <row r="668" spans="1:4" x14ac:dyDescent="0.25">
      <c r="A668" s="1">
        <v>45128</v>
      </c>
      <c r="B668" s="2">
        <v>294.26</v>
      </c>
      <c r="C668">
        <f t="shared" si="10"/>
        <v>294.26</v>
      </c>
      <c r="D668" cm="1">
        <f t="array" ref="D668">IF(C668="","",C668/LOOKUP(2,1/($C$1:C667&lt;&gt;""),$C$1:C667)-1)</f>
        <v>-4.7301453686016792E-2</v>
      </c>
    </row>
    <row r="669" spans="1:4" hidden="1" x14ac:dyDescent="0.25">
      <c r="A669" s="1">
        <v>45131</v>
      </c>
      <c r="B669" s="2">
        <v>291.61</v>
      </c>
      <c r="C669" t="str">
        <f t="shared" si="10"/>
        <v/>
      </c>
      <c r="D669" s="5" t="str" cm="1">
        <f t="array" ref="D669">IF(C669="","",C669/LOOKUP(2,1/($C$1:C668&lt;&gt;""),$C$1:C668)-1)</f>
        <v/>
      </c>
    </row>
    <row r="670" spans="1:4" hidden="1" x14ac:dyDescent="0.25">
      <c r="A670" s="1">
        <v>45132</v>
      </c>
      <c r="B670" s="2">
        <v>294.47000000000003</v>
      </c>
      <c r="C670" t="str">
        <f t="shared" si="10"/>
        <v/>
      </c>
      <c r="D670" s="5" t="str" cm="1">
        <f t="array" ref="D670">IF(C670="","",C670/LOOKUP(2,1/($C$1:C669&lt;&gt;""),$C$1:C669)-1)</f>
        <v/>
      </c>
    </row>
    <row r="671" spans="1:4" hidden="1" x14ac:dyDescent="0.25">
      <c r="A671" s="1">
        <v>45133</v>
      </c>
      <c r="B671" s="2">
        <v>298.57</v>
      </c>
      <c r="C671" t="str">
        <f t="shared" si="10"/>
        <v/>
      </c>
      <c r="D671" s="5" t="str" cm="1">
        <f t="array" ref="D671">IF(C671="","",C671/LOOKUP(2,1/($C$1:C670&lt;&gt;""),$C$1:C670)-1)</f>
        <v/>
      </c>
    </row>
    <row r="672" spans="1:4" hidden="1" x14ac:dyDescent="0.25">
      <c r="A672" s="1">
        <v>45134</v>
      </c>
      <c r="B672" s="2">
        <v>311.70999999999998</v>
      </c>
      <c r="C672" t="str">
        <f t="shared" si="10"/>
        <v/>
      </c>
      <c r="D672" s="5" t="str" cm="1">
        <f t="array" ref="D672">IF(C672="","",C672/LOOKUP(2,1/($C$1:C671&lt;&gt;""),$C$1:C671)-1)</f>
        <v/>
      </c>
    </row>
    <row r="673" spans="1:4" x14ac:dyDescent="0.25">
      <c r="A673" s="1">
        <v>45135</v>
      </c>
      <c r="B673" s="2">
        <v>325.48</v>
      </c>
      <c r="C673">
        <f t="shared" si="10"/>
        <v>325.48</v>
      </c>
      <c r="D673" cm="1">
        <f t="array" ref="D673">IF(C673="","",C673/LOOKUP(2,1/($C$1:C672&lt;&gt;""),$C$1:C672)-1)</f>
        <v>0.10609664922177675</v>
      </c>
    </row>
    <row r="674" spans="1:4" hidden="1" x14ac:dyDescent="0.25">
      <c r="A674" s="1">
        <v>45138</v>
      </c>
      <c r="B674" s="2">
        <v>318.60000000000002</v>
      </c>
      <c r="C674" t="str">
        <f t="shared" si="10"/>
        <v/>
      </c>
      <c r="D674" s="5" t="str" cm="1">
        <f t="array" ref="D674">IF(C674="","",C674/LOOKUP(2,1/($C$1:C673&lt;&gt;""),$C$1:C673)-1)</f>
        <v/>
      </c>
    </row>
    <row r="675" spans="1:4" hidden="1" x14ac:dyDescent="0.25">
      <c r="A675" s="1">
        <v>45139</v>
      </c>
      <c r="B675" s="2">
        <v>322.70999999999998</v>
      </c>
      <c r="C675" t="str">
        <f t="shared" si="10"/>
        <v/>
      </c>
      <c r="D675" s="5" t="str" cm="1">
        <f t="array" ref="D675">IF(C675="","",C675/LOOKUP(2,1/($C$1:C674&lt;&gt;""),$C$1:C674)-1)</f>
        <v/>
      </c>
    </row>
    <row r="676" spans="1:4" hidden="1" x14ac:dyDescent="0.25">
      <c r="A676" s="1">
        <v>45140</v>
      </c>
      <c r="B676" s="2">
        <v>314.31</v>
      </c>
      <c r="C676" t="str">
        <f t="shared" si="10"/>
        <v/>
      </c>
      <c r="D676" s="5" t="str" cm="1">
        <f t="array" ref="D676">IF(C676="","",C676/LOOKUP(2,1/($C$1:C675&lt;&gt;""),$C$1:C675)-1)</f>
        <v/>
      </c>
    </row>
    <row r="677" spans="1:4" hidden="1" x14ac:dyDescent="0.25">
      <c r="A677" s="1">
        <v>45141</v>
      </c>
      <c r="B677" s="2">
        <v>313.19</v>
      </c>
      <c r="C677" t="str">
        <f t="shared" si="10"/>
        <v/>
      </c>
      <c r="D677" s="5" t="str" cm="1">
        <f t="array" ref="D677">IF(C677="","",C677/LOOKUP(2,1/($C$1:C676&lt;&gt;""),$C$1:C676)-1)</f>
        <v/>
      </c>
    </row>
    <row r="678" spans="1:4" x14ac:dyDescent="0.25">
      <c r="A678" s="1">
        <v>45142</v>
      </c>
      <c r="B678" s="2">
        <v>310.73</v>
      </c>
      <c r="C678">
        <f t="shared" si="10"/>
        <v>310.73</v>
      </c>
      <c r="D678" cm="1">
        <f t="array" ref="D678">IF(C678="","",C678/LOOKUP(2,1/($C$1:C677&lt;&gt;""),$C$1:C677)-1)</f>
        <v>-4.5317684650362566E-2</v>
      </c>
    </row>
    <row r="679" spans="1:4" hidden="1" x14ac:dyDescent="0.25">
      <c r="A679" s="1">
        <v>45145</v>
      </c>
      <c r="B679" s="2">
        <v>316.56</v>
      </c>
      <c r="C679" t="str">
        <f t="shared" si="10"/>
        <v/>
      </c>
      <c r="D679" s="5" t="str" cm="1">
        <f t="array" ref="D679">IF(C679="","",C679/LOOKUP(2,1/($C$1:C678&lt;&gt;""),$C$1:C678)-1)</f>
        <v/>
      </c>
    </row>
    <row r="680" spans="1:4" hidden="1" x14ac:dyDescent="0.25">
      <c r="A680" s="1">
        <v>45146</v>
      </c>
      <c r="B680" s="2">
        <v>312.64</v>
      </c>
      <c r="C680" t="str">
        <f t="shared" si="10"/>
        <v/>
      </c>
      <c r="D680" s="5" t="str" cm="1">
        <f t="array" ref="D680">IF(C680="","",C680/LOOKUP(2,1/($C$1:C679&lt;&gt;""),$C$1:C679)-1)</f>
        <v/>
      </c>
    </row>
    <row r="681" spans="1:4" hidden="1" x14ac:dyDescent="0.25">
      <c r="A681" s="1">
        <v>45147</v>
      </c>
      <c r="B681" s="2">
        <v>305.20999999999998</v>
      </c>
      <c r="C681" t="str">
        <f t="shared" si="10"/>
        <v/>
      </c>
      <c r="D681" s="5" t="str" cm="1">
        <f t="array" ref="D681">IF(C681="","",C681/LOOKUP(2,1/($C$1:C680&lt;&gt;""),$C$1:C680)-1)</f>
        <v/>
      </c>
    </row>
    <row r="682" spans="1:4" hidden="1" x14ac:dyDescent="0.25">
      <c r="A682" s="1">
        <v>45148</v>
      </c>
      <c r="B682" s="2">
        <v>305.74</v>
      </c>
      <c r="C682" t="str">
        <f t="shared" si="10"/>
        <v/>
      </c>
      <c r="D682" s="5" t="str" cm="1">
        <f t="array" ref="D682">IF(C682="","",C682/LOOKUP(2,1/($C$1:C681&lt;&gt;""),$C$1:C681)-1)</f>
        <v/>
      </c>
    </row>
    <row r="683" spans="1:4" x14ac:dyDescent="0.25">
      <c r="A683" s="1">
        <v>45149</v>
      </c>
      <c r="B683" s="2">
        <v>301.64</v>
      </c>
      <c r="C683">
        <f t="shared" si="10"/>
        <v>301.64</v>
      </c>
      <c r="D683" cm="1">
        <f t="array" ref="D683">IF(C683="","",C683/LOOKUP(2,1/($C$1:C682&lt;&gt;""),$C$1:C682)-1)</f>
        <v>-2.925369291668023E-2</v>
      </c>
    </row>
    <row r="684" spans="1:4" hidden="1" x14ac:dyDescent="0.25">
      <c r="A684" s="1">
        <v>45152</v>
      </c>
      <c r="B684" s="2">
        <v>306.19</v>
      </c>
      <c r="C684" t="str">
        <f t="shared" si="10"/>
        <v/>
      </c>
      <c r="D684" s="5" t="str" cm="1">
        <f t="array" ref="D684">IF(C684="","",C684/LOOKUP(2,1/($C$1:C683&lt;&gt;""),$C$1:C683)-1)</f>
        <v/>
      </c>
    </row>
    <row r="685" spans="1:4" hidden="1" x14ac:dyDescent="0.25">
      <c r="A685" s="1">
        <v>45153</v>
      </c>
      <c r="B685" s="2">
        <v>301.95</v>
      </c>
      <c r="C685" t="str">
        <f t="shared" si="10"/>
        <v/>
      </c>
      <c r="D685" s="5" t="str" cm="1">
        <f t="array" ref="D685">IF(C685="","",C685/LOOKUP(2,1/($C$1:C684&lt;&gt;""),$C$1:C684)-1)</f>
        <v/>
      </c>
    </row>
    <row r="686" spans="1:4" hidden="1" x14ac:dyDescent="0.25">
      <c r="A686" s="1">
        <v>45154</v>
      </c>
      <c r="B686" s="2">
        <v>294.29000000000002</v>
      </c>
      <c r="C686" t="str">
        <f t="shared" si="10"/>
        <v/>
      </c>
      <c r="D686" s="5" t="str" cm="1">
        <f t="array" ref="D686">IF(C686="","",C686/LOOKUP(2,1/($C$1:C685&lt;&gt;""),$C$1:C685)-1)</f>
        <v/>
      </c>
    </row>
    <row r="687" spans="1:4" hidden="1" x14ac:dyDescent="0.25">
      <c r="A687" s="1">
        <v>45155</v>
      </c>
      <c r="B687" s="2">
        <v>285.08999999999997</v>
      </c>
      <c r="C687" t="str">
        <f t="shared" si="10"/>
        <v/>
      </c>
      <c r="D687" s="5" t="str" cm="1">
        <f t="array" ref="D687">IF(C687="","",C687/LOOKUP(2,1/($C$1:C686&lt;&gt;""),$C$1:C686)-1)</f>
        <v/>
      </c>
    </row>
    <row r="688" spans="1:4" x14ac:dyDescent="0.25">
      <c r="A688" s="1">
        <v>45156</v>
      </c>
      <c r="B688" s="2">
        <v>283.25</v>
      </c>
      <c r="C688">
        <f t="shared" si="10"/>
        <v>283.25</v>
      </c>
      <c r="D688" cm="1">
        <f t="array" ref="D688">IF(C688="","",C688/LOOKUP(2,1/($C$1:C687&lt;&gt;""),$C$1:C687)-1)</f>
        <v>-6.0966715289749285E-2</v>
      </c>
    </row>
    <row r="689" spans="1:4" hidden="1" x14ac:dyDescent="0.25">
      <c r="A689" s="1">
        <v>45159</v>
      </c>
      <c r="B689" s="2">
        <v>289.89999999999998</v>
      </c>
      <c r="C689" t="str">
        <f t="shared" si="10"/>
        <v/>
      </c>
      <c r="D689" s="5" t="str" cm="1">
        <f t="array" ref="D689">IF(C689="","",C689/LOOKUP(2,1/($C$1:C688&lt;&gt;""),$C$1:C688)-1)</f>
        <v/>
      </c>
    </row>
    <row r="690" spans="1:4" hidden="1" x14ac:dyDescent="0.25">
      <c r="A690" s="1">
        <v>45160</v>
      </c>
      <c r="B690" s="2">
        <v>287.60000000000002</v>
      </c>
      <c r="C690" t="str">
        <f t="shared" si="10"/>
        <v/>
      </c>
      <c r="D690" s="5" t="str" cm="1">
        <f t="array" ref="D690">IF(C690="","",C690/LOOKUP(2,1/($C$1:C689&lt;&gt;""),$C$1:C689)-1)</f>
        <v/>
      </c>
    </row>
    <row r="691" spans="1:4" hidden="1" x14ac:dyDescent="0.25">
      <c r="A691" s="1">
        <v>45161</v>
      </c>
      <c r="B691" s="2">
        <v>294.24</v>
      </c>
      <c r="C691" t="str">
        <f t="shared" si="10"/>
        <v/>
      </c>
      <c r="D691" s="5" t="str" cm="1">
        <f t="array" ref="D691">IF(C691="","",C691/LOOKUP(2,1/($C$1:C690&lt;&gt;""),$C$1:C690)-1)</f>
        <v/>
      </c>
    </row>
    <row r="692" spans="1:4" hidden="1" x14ac:dyDescent="0.25">
      <c r="A692" s="1">
        <v>45162</v>
      </c>
      <c r="B692" s="2">
        <v>286.75</v>
      </c>
      <c r="C692" t="str">
        <f t="shared" si="10"/>
        <v/>
      </c>
      <c r="D692" s="5" t="str" cm="1">
        <f t="array" ref="D692">IF(C692="","",C692/LOOKUP(2,1/($C$1:C691&lt;&gt;""),$C$1:C691)-1)</f>
        <v/>
      </c>
    </row>
    <row r="693" spans="1:4" x14ac:dyDescent="0.25">
      <c r="A693" s="1">
        <v>45163</v>
      </c>
      <c r="B693" s="2">
        <v>285.5</v>
      </c>
      <c r="C693">
        <f t="shared" si="10"/>
        <v>285.5</v>
      </c>
      <c r="D693" cm="1">
        <f t="array" ref="D693">IF(C693="","",C693/LOOKUP(2,1/($C$1:C692&lt;&gt;""),$C$1:C692)-1)</f>
        <v>7.9435127978817466E-3</v>
      </c>
    </row>
    <row r="694" spans="1:4" hidden="1" x14ac:dyDescent="0.25">
      <c r="A694" s="1">
        <v>45166</v>
      </c>
      <c r="B694" s="2">
        <v>290.26</v>
      </c>
      <c r="C694" t="str">
        <f t="shared" si="10"/>
        <v/>
      </c>
      <c r="D694" s="5" t="str" cm="1">
        <f t="array" ref="D694">IF(C694="","",C694/LOOKUP(2,1/($C$1:C693&lt;&gt;""),$C$1:C693)-1)</f>
        <v/>
      </c>
    </row>
    <row r="695" spans="1:4" hidden="1" x14ac:dyDescent="0.25">
      <c r="A695" s="1">
        <v>45167</v>
      </c>
      <c r="B695" s="2">
        <v>297.99</v>
      </c>
      <c r="C695" t="str">
        <f t="shared" si="10"/>
        <v/>
      </c>
      <c r="D695" s="5" t="str" cm="1">
        <f t="array" ref="D695">IF(C695="","",C695/LOOKUP(2,1/($C$1:C694&lt;&gt;""),$C$1:C694)-1)</f>
        <v/>
      </c>
    </row>
    <row r="696" spans="1:4" hidden="1" x14ac:dyDescent="0.25">
      <c r="A696" s="1">
        <v>45168</v>
      </c>
      <c r="B696" s="2">
        <v>295.10000000000002</v>
      </c>
      <c r="C696" t="str">
        <f t="shared" si="10"/>
        <v/>
      </c>
      <c r="D696" s="5" t="str" cm="1">
        <f t="array" ref="D696">IF(C696="","",C696/LOOKUP(2,1/($C$1:C695&lt;&gt;""),$C$1:C695)-1)</f>
        <v/>
      </c>
    </row>
    <row r="697" spans="1:4" hidden="1" x14ac:dyDescent="0.25">
      <c r="A697" s="1">
        <v>45169</v>
      </c>
      <c r="B697" s="2">
        <v>295.89</v>
      </c>
      <c r="C697" t="str">
        <f t="shared" si="10"/>
        <v/>
      </c>
      <c r="D697" s="5" t="str" cm="1">
        <f t="array" ref="D697">IF(C697="","",C697/LOOKUP(2,1/($C$1:C696&lt;&gt;""),$C$1:C696)-1)</f>
        <v/>
      </c>
    </row>
    <row r="698" spans="1:4" x14ac:dyDescent="0.25">
      <c r="A698" s="1">
        <v>45170</v>
      </c>
      <c r="B698" s="2">
        <v>296.38</v>
      </c>
      <c r="C698">
        <f t="shared" si="10"/>
        <v>296.38</v>
      </c>
      <c r="D698" cm="1">
        <f t="array" ref="D698">IF(C698="","",C698/LOOKUP(2,1/($C$1:C697&lt;&gt;""),$C$1:C697)-1)</f>
        <v>3.8108581436077094E-2</v>
      </c>
    </row>
    <row r="699" spans="1:4" hidden="1" x14ac:dyDescent="0.25">
      <c r="A699" s="1">
        <v>45174</v>
      </c>
      <c r="B699" s="2">
        <v>300.14999999999998</v>
      </c>
      <c r="C699" t="str">
        <f t="shared" si="10"/>
        <v/>
      </c>
      <c r="D699" s="5" t="str" cm="1">
        <f t="array" ref="D699">IF(C699="","",C699/LOOKUP(2,1/($C$1:C698&lt;&gt;""),$C$1:C698)-1)</f>
        <v/>
      </c>
    </row>
    <row r="700" spans="1:4" hidden="1" x14ac:dyDescent="0.25">
      <c r="A700" s="1">
        <v>45175</v>
      </c>
      <c r="B700" s="2">
        <v>299.17</v>
      </c>
      <c r="C700" t="str">
        <f t="shared" si="10"/>
        <v/>
      </c>
      <c r="D700" s="5" t="str" cm="1">
        <f t="array" ref="D700">IF(C700="","",C700/LOOKUP(2,1/($C$1:C699&lt;&gt;""),$C$1:C699)-1)</f>
        <v/>
      </c>
    </row>
    <row r="701" spans="1:4" hidden="1" x14ac:dyDescent="0.25">
      <c r="A701" s="1">
        <v>45176</v>
      </c>
      <c r="B701" s="2">
        <v>298.67</v>
      </c>
      <c r="C701" t="str">
        <f t="shared" si="10"/>
        <v/>
      </c>
      <c r="D701" s="5" t="str" cm="1">
        <f t="array" ref="D701">IF(C701="","",C701/LOOKUP(2,1/($C$1:C700&lt;&gt;""),$C$1:C700)-1)</f>
        <v/>
      </c>
    </row>
    <row r="702" spans="1:4" x14ac:dyDescent="0.25">
      <c r="A702" s="1">
        <v>45177</v>
      </c>
      <c r="B702" s="2">
        <v>297.89</v>
      </c>
      <c r="C702">
        <f t="shared" si="10"/>
        <v>297.89</v>
      </c>
      <c r="D702" cm="1">
        <f t="array" ref="D702">IF(C702="","",C702/LOOKUP(2,1/($C$1:C701&lt;&gt;""),$C$1:C701)-1)</f>
        <v>5.0948107159727307E-3</v>
      </c>
    </row>
    <row r="703" spans="1:4" hidden="1" x14ac:dyDescent="0.25">
      <c r="A703" s="1">
        <v>45180</v>
      </c>
      <c r="B703" s="2">
        <v>307.56</v>
      </c>
      <c r="C703" t="str">
        <f t="shared" si="10"/>
        <v/>
      </c>
      <c r="D703" s="5" t="str" cm="1">
        <f t="array" ref="D703">IF(C703="","",C703/LOOKUP(2,1/($C$1:C702&lt;&gt;""),$C$1:C702)-1)</f>
        <v/>
      </c>
    </row>
    <row r="704" spans="1:4" hidden="1" x14ac:dyDescent="0.25">
      <c r="A704" s="1">
        <v>45181</v>
      </c>
      <c r="B704" s="2">
        <v>301.66000000000003</v>
      </c>
      <c r="C704" t="str">
        <f t="shared" si="10"/>
        <v/>
      </c>
      <c r="D704" s="5" t="str" cm="1">
        <f t="array" ref="D704">IF(C704="","",C704/LOOKUP(2,1/($C$1:C703&lt;&gt;""),$C$1:C703)-1)</f>
        <v/>
      </c>
    </row>
    <row r="705" spans="1:4" hidden="1" x14ac:dyDescent="0.25">
      <c r="A705" s="1">
        <v>45182</v>
      </c>
      <c r="B705" s="2">
        <v>305.06</v>
      </c>
      <c r="C705" t="str">
        <f t="shared" si="10"/>
        <v/>
      </c>
      <c r="D705" s="5" t="str" cm="1">
        <f t="array" ref="D705">IF(C705="","",C705/LOOKUP(2,1/($C$1:C704&lt;&gt;""),$C$1:C704)-1)</f>
        <v/>
      </c>
    </row>
    <row r="706" spans="1:4" hidden="1" x14ac:dyDescent="0.25">
      <c r="A706" s="1">
        <v>45183</v>
      </c>
      <c r="B706" s="2">
        <v>311.72000000000003</v>
      </c>
      <c r="C706" t="str">
        <f t="shared" si="10"/>
        <v/>
      </c>
      <c r="D706" s="5" t="str" cm="1">
        <f t="array" ref="D706">IF(C706="","",C706/LOOKUP(2,1/($C$1:C705&lt;&gt;""),$C$1:C705)-1)</f>
        <v/>
      </c>
    </row>
    <row r="707" spans="1:4" x14ac:dyDescent="0.25">
      <c r="A707" s="1">
        <v>45184</v>
      </c>
      <c r="B707" s="2">
        <v>300.31</v>
      </c>
      <c r="C707">
        <f t="shared" ref="C707:C770" si="11">IF(WEEKNUM(A707)&lt;&gt;WEEKNUM(A708),B707,"")</f>
        <v>300.31</v>
      </c>
      <c r="D707" cm="1">
        <f t="array" ref="D707">IF(C707="","",C707/LOOKUP(2,1/($C$1:C706&lt;&gt;""),$C$1:C706)-1)</f>
        <v>8.1238040887576801E-3</v>
      </c>
    </row>
    <row r="708" spans="1:4" hidden="1" x14ac:dyDescent="0.25">
      <c r="A708" s="1">
        <v>45187</v>
      </c>
      <c r="B708" s="2">
        <v>302.55</v>
      </c>
      <c r="C708" t="str">
        <f t="shared" si="11"/>
        <v/>
      </c>
      <c r="D708" s="5" t="str" cm="1">
        <f t="array" ref="D708">IF(C708="","",C708/LOOKUP(2,1/($C$1:C707&lt;&gt;""),$C$1:C707)-1)</f>
        <v/>
      </c>
    </row>
    <row r="709" spans="1:4" hidden="1" x14ac:dyDescent="0.25">
      <c r="A709" s="1">
        <v>45188</v>
      </c>
      <c r="B709" s="2">
        <v>305.07</v>
      </c>
      <c r="C709" t="str">
        <f t="shared" si="11"/>
        <v/>
      </c>
      <c r="D709" s="5" t="str" cm="1">
        <f t="array" ref="D709">IF(C709="","",C709/LOOKUP(2,1/($C$1:C708&lt;&gt;""),$C$1:C708)-1)</f>
        <v/>
      </c>
    </row>
    <row r="710" spans="1:4" hidden="1" x14ac:dyDescent="0.25">
      <c r="A710" s="1">
        <v>45189</v>
      </c>
      <c r="B710" s="2">
        <v>299.67</v>
      </c>
      <c r="C710" t="str">
        <f t="shared" si="11"/>
        <v/>
      </c>
      <c r="D710" s="5" t="str" cm="1">
        <f t="array" ref="D710">IF(C710="","",C710/LOOKUP(2,1/($C$1:C709&lt;&gt;""),$C$1:C709)-1)</f>
        <v/>
      </c>
    </row>
    <row r="711" spans="1:4" hidden="1" x14ac:dyDescent="0.25">
      <c r="A711" s="1">
        <v>45190</v>
      </c>
      <c r="B711" s="2">
        <v>295.73</v>
      </c>
      <c r="C711" t="str">
        <f t="shared" si="11"/>
        <v/>
      </c>
      <c r="D711" s="5" t="str" cm="1">
        <f t="array" ref="D711">IF(C711="","",C711/LOOKUP(2,1/($C$1:C710&lt;&gt;""),$C$1:C710)-1)</f>
        <v/>
      </c>
    </row>
    <row r="712" spans="1:4" x14ac:dyDescent="0.25">
      <c r="A712" s="1">
        <v>45191</v>
      </c>
      <c r="B712" s="2">
        <v>299.08</v>
      </c>
      <c r="C712">
        <f t="shared" si="11"/>
        <v>299.08</v>
      </c>
      <c r="D712" cm="1">
        <f t="array" ref="D712">IF(C712="","",C712/LOOKUP(2,1/($C$1:C711&lt;&gt;""),$C$1:C711)-1)</f>
        <v>-4.0957677067031684E-3</v>
      </c>
    </row>
    <row r="713" spans="1:4" hidden="1" x14ac:dyDescent="0.25">
      <c r="A713" s="1">
        <v>45194</v>
      </c>
      <c r="B713" s="2">
        <v>300.83</v>
      </c>
      <c r="C713" t="str">
        <f t="shared" si="11"/>
        <v/>
      </c>
      <c r="D713" s="5" t="str" cm="1">
        <f t="array" ref="D713">IF(C713="","",C713/LOOKUP(2,1/($C$1:C712&lt;&gt;""),$C$1:C712)-1)</f>
        <v/>
      </c>
    </row>
    <row r="714" spans="1:4" hidden="1" x14ac:dyDescent="0.25">
      <c r="A714" s="1">
        <v>45195</v>
      </c>
      <c r="B714" s="2">
        <v>298.95999999999998</v>
      </c>
      <c r="C714" t="str">
        <f t="shared" si="11"/>
        <v/>
      </c>
      <c r="D714" s="5" t="str" cm="1">
        <f t="array" ref="D714">IF(C714="","",C714/LOOKUP(2,1/($C$1:C713&lt;&gt;""),$C$1:C713)-1)</f>
        <v/>
      </c>
    </row>
    <row r="715" spans="1:4" hidden="1" x14ac:dyDescent="0.25">
      <c r="A715" s="1">
        <v>45196</v>
      </c>
      <c r="B715" s="2">
        <v>297.74</v>
      </c>
      <c r="C715" t="str">
        <f t="shared" si="11"/>
        <v/>
      </c>
      <c r="D715" s="5" t="str" cm="1">
        <f t="array" ref="D715">IF(C715="","",C715/LOOKUP(2,1/($C$1:C714&lt;&gt;""),$C$1:C714)-1)</f>
        <v/>
      </c>
    </row>
    <row r="716" spans="1:4" hidden="1" x14ac:dyDescent="0.25">
      <c r="A716" s="1">
        <v>45197</v>
      </c>
      <c r="B716" s="2">
        <v>303.95999999999998</v>
      </c>
      <c r="C716" t="str">
        <f t="shared" si="11"/>
        <v/>
      </c>
      <c r="D716" s="5" t="str" cm="1">
        <f t="array" ref="D716">IF(C716="","",C716/LOOKUP(2,1/($C$1:C715&lt;&gt;""),$C$1:C715)-1)</f>
        <v/>
      </c>
    </row>
    <row r="717" spans="1:4" x14ac:dyDescent="0.25">
      <c r="A717" s="1">
        <v>45198</v>
      </c>
      <c r="B717" s="2">
        <v>300.20999999999998</v>
      </c>
      <c r="C717">
        <f t="shared" si="11"/>
        <v>300.20999999999998</v>
      </c>
      <c r="D717" cm="1">
        <f t="array" ref="D717">IF(C717="","",C717/LOOKUP(2,1/($C$1:C716&lt;&gt;""),$C$1:C716)-1)</f>
        <v>3.7782533101511362E-3</v>
      </c>
    </row>
    <row r="718" spans="1:4" hidden="1" x14ac:dyDescent="0.25">
      <c r="A718" s="1">
        <v>45201</v>
      </c>
      <c r="B718" s="2">
        <v>306.82</v>
      </c>
      <c r="C718" t="str">
        <f t="shared" si="11"/>
        <v/>
      </c>
      <c r="D718" s="5" t="str" cm="1">
        <f t="array" ref="D718">IF(C718="","",C718/LOOKUP(2,1/($C$1:C717&lt;&gt;""),$C$1:C717)-1)</f>
        <v/>
      </c>
    </row>
    <row r="719" spans="1:4" hidden="1" x14ac:dyDescent="0.25">
      <c r="A719" s="1">
        <v>45202</v>
      </c>
      <c r="B719" s="2">
        <v>300.94</v>
      </c>
      <c r="C719" t="str">
        <f t="shared" si="11"/>
        <v/>
      </c>
      <c r="D719" s="5" t="str" cm="1">
        <f t="array" ref="D719">IF(C719="","",C719/LOOKUP(2,1/($C$1:C718&lt;&gt;""),$C$1:C718)-1)</f>
        <v/>
      </c>
    </row>
    <row r="720" spans="1:4" hidden="1" x14ac:dyDescent="0.25">
      <c r="A720" s="1">
        <v>45203</v>
      </c>
      <c r="B720" s="2">
        <v>305.58</v>
      </c>
      <c r="C720" t="str">
        <f t="shared" si="11"/>
        <v/>
      </c>
      <c r="D720" s="5" t="str" cm="1">
        <f t="array" ref="D720">IF(C720="","",C720/LOOKUP(2,1/($C$1:C719&lt;&gt;""),$C$1:C719)-1)</f>
        <v/>
      </c>
    </row>
    <row r="721" spans="1:4" hidden="1" x14ac:dyDescent="0.25">
      <c r="A721" s="1">
        <v>45204</v>
      </c>
      <c r="B721" s="2">
        <v>304.79000000000002</v>
      </c>
      <c r="C721" t="str">
        <f t="shared" si="11"/>
        <v/>
      </c>
      <c r="D721" s="5" t="str" cm="1">
        <f t="array" ref="D721">IF(C721="","",C721/LOOKUP(2,1/($C$1:C720&lt;&gt;""),$C$1:C720)-1)</f>
        <v/>
      </c>
    </row>
    <row r="722" spans="1:4" x14ac:dyDescent="0.25">
      <c r="A722" s="1">
        <v>45205</v>
      </c>
      <c r="B722" s="2">
        <v>315.43</v>
      </c>
      <c r="C722">
        <f t="shared" si="11"/>
        <v>315.43</v>
      </c>
      <c r="D722" cm="1">
        <f t="array" ref="D722">IF(C722="","",C722/LOOKUP(2,1/($C$1:C721&lt;&gt;""),$C$1:C721)-1)</f>
        <v>5.0697844841944173E-2</v>
      </c>
    </row>
    <row r="723" spans="1:4" hidden="1" x14ac:dyDescent="0.25">
      <c r="A723" s="1">
        <v>45208</v>
      </c>
      <c r="B723" s="2">
        <v>318.36</v>
      </c>
      <c r="C723" t="str">
        <f t="shared" si="11"/>
        <v/>
      </c>
      <c r="D723" s="5" t="str" cm="1">
        <f t="array" ref="D723">IF(C723="","",C723/LOOKUP(2,1/($C$1:C722&lt;&gt;""),$C$1:C722)-1)</f>
        <v/>
      </c>
    </row>
    <row r="724" spans="1:4" hidden="1" x14ac:dyDescent="0.25">
      <c r="A724" s="1">
        <v>45209</v>
      </c>
      <c r="B724" s="2">
        <v>321.83999999999997</v>
      </c>
      <c r="C724" t="str">
        <f t="shared" si="11"/>
        <v/>
      </c>
      <c r="D724" s="5" t="str" cm="1">
        <f t="array" ref="D724">IF(C724="","",C724/LOOKUP(2,1/($C$1:C723&lt;&gt;""),$C$1:C723)-1)</f>
        <v/>
      </c>
    </row>
    <row r="725" spans="1:4" hidden="1" x14ac:dyDescent="0.25">
      <c r="A725" s="1">
        <v>45210</v>
      </c>
      <c r="B725" s="2">
        <v>327.82</v>
      </c>
      <c r="C725" t="str">
        <f t="shared" si="11"/>
        <v/>
      </c>
      <c r="D725" s="5" t="str" cm="1">
        <f t="array" ref="D725">IF(C725="","",C725/LOOKUP(2,1/($C$1:C724&lt;&gt;""),$C$1:C724)-1)</f>
        <v/>
      </c>
    </row>
    <row r="726" spans="1:4" hidden="1" x14ac:dyDescent="0.25">
      <c r="A726" s="1">
        <v>45211</v>
      </c>
      <c r="B726" s="2">
        <v>324.16000000000003</v>
      </c>
      <c r="C726" t="str">
        <f t="shared" si="11"/>
        <v/>
      </c>
      <c r="D726" s="5" t="str" cm="1">
        <f t="array" ref="D726">IF(C726="","",C726/LOOKUP(2,1/($C$1:C725&lt;&gt;""),$C$1:C725)-1)</f>
        <v/>
      </c>
    </row>
    <row r="727" spans="1:4" x14ac:dyDescent="0.25">
      <c r="A727" s="1">
        <v>45212</v>
      </c>
      <c r="B727" s="2">
        <v>314.69</v>
      </c>
      <c r="C727">
        <f t="shared" si="11"/>
        <v>314.69</v>
      </c>
      <c r="D727" cm="1">
        <f t="array" ref="D727">IF(C727="","",C727/LOOKUP(2,1/($C$1:C726&lt;&gt;""),$C$1:C726)-1)</f>
        <v>-2.3460038677360906E-3</v>
      </c>
    </row>
    <row r="728" spans="1:4" hidden="1" x14ac:dyDescent="0.25">
      <c r="A728" s="1">
        <v>45215</v>
      </c>
      <c r="B728" s="2">
        <v>321.14999999999998</v>
      </c>
      <c r="C728" t="str">
        <f t="shared" si="11"/>
        <v/>
      </c>
      <c r="D728" s="5" t="str" cm="1">
        <f t="array" ref="D728">IF(C728="","",C728/LOOKUP(2,1/($C$1:C727&lt;&gt;""),$C$1:C727)-1)</f>
        <v/>
      </c>
    </row>
    <row r="729" spans="1:4" hidden="1" x14ac:dyDescent="0.25">
      <c r="A729" s="1">
        <v>45216</v>
      </c>
      <c r="B729" s="2">
        <v>324</v>
      </c>
      <c r="C729" t="str">
        <f t="shared" si="11"/>
        <v/>
      </c>
      <c r="D729" s="5" t="str" cm="1">
        <f t="array" ref="D729">IF(C729="","",C729/LOOKUP(2,1/($C$1:C728&lt;&gt;""),$C$1:C728)-1)</f>
        <v/>
      </c>
    </row>
    <row r="730" spans="1:4" hidden="1" x14ac:dyDescent="0.25">
      <c r="A730" s="1">
        <v>45217</v>
      </c>
      <c r="B730" s="2">
        <v>316.97000000000003</v>
      </c>
      <c r="C730" t="str">
        <f t="shared" si="11"/>
        <v/>
      </c>
      <c r="D730" s="5" t="str" cm="1">
        <f t="array" ref="D730">IF(C730="","",C730/LOOKUP(2,1/($C$1:C729&lt;&gt;""),$C$1:C729)-1)</f>
        <v/>
      </c>
    </row>
    <row r="731" spans="1:4" hidden="1" x14ac:dyDescent="0.25">
      <c r="A731" s="1">
        <v>45218</v>
      </c>
      <c r="B731" s="2">
        <v>312.81</v>
      </c>
      <c r="C731" t="str">
        <f t="shared" si="11"/>
        <v/>
      </c>
      <c r="D731" s="5" t="str" cm="1">
        <f t="array" ref="D731">IF(C731="","",C731/LOOKUP(2,1/($C$1:C730&lt;&gt;""),$C$1:C730)-1)</f>
        <v/>
      </c>
    </row>
    <row r="732" spans="1:4" x14ac:dyDescent="0.25">
      <c r="A732" s="1">
        <v>45219</v>
      </c>
      <c r="B732" s="2">
        <v>308.64999999999998</v>
      </c>
      <c r="C732">
        <f t="shared" si="11"/>
        <v>308.64999999999998</v>
      </c>
      <c r="D732" cm="1">
        <f t="array" ref="D732">IF(C732="","",C732/LOOKUP(2,1/($C$1:C731&lt;&gt;""),$C$1:C731)-1)</f>
        <v>-1.9193492008007906E-2</v>
      </c>
    </row>
    <row r="733" spans="1:4" hidden="1" x14ac:dyDescent="0.25">
      <c r="A733" s="1">
        <v>45222</v>
      </c>
      <c r="B733" s="2">
        <v>314.01</v>
      </c>
      <c r="C733" t="str">
        <f t="shared" si="11"/>
        <v/>
      </c>
      <c r="D733" s="5" t="str" cm="1">
        <f t="array" ref="D733">IF(C733="","",C733/LOOKUP(2,1/($C$1:C732&lt;&gt;""),$C$1:C732)-1)</f>
        <v/>
      </c>
    </row>
    <row r="734" spans="1:4" hidden="1" x14ac:dyDescent="0.25">
      <c r="A734" s="1">
        <v>45223</v>
      </c>
      <c r="B734" s="2">
        <v>312.55</v>
      </c>
      <c r="C734" t="str">
        <f t="shared" si="11"/>
        <v/>
      </c>
      <c r="D734" s="5" t="str" cm="1">
        <f t="array" ref="D734">IF(C734="","",C734/LOOKUP(2,1/($C$1:C733&lt;&gt;""),$C$1:C733)-1)</f>
        <v/>
      </c>
    </row>
    <row r="735" spans="1:4" hidden="1" x14ac:dyDescent="0.25">
      <c r="A735" s="1">
        <v>45224</v>
      </c>
      <c r="B735" s="2">
        <v>299.52999999999997</v>
      </c>
      <c r="C735" t="str">
        <f t="shared" si="11"/>
        <v/>
      </c>
      <c r="D735" s="5" t="str" cm="1">
        <f t="array" ref="D735">IF(C735="","",C735/LOOKUP(2,1/($C$1:C734&lt;&gt;""),$C$1:C734)-1)</f>
        <v/>
      </c>
    </row>
    <row r="736" spans="1:4" hidden="1" x14ac:dyDescent="0.25">
      <c r="A736" s="1">
        <v>45225</v>
      </c>
      <c r="B736" s="2">
        <v>288.35000000000002</v>
      </c>
      <c r="C736" t="str">
        <f t="shared" si="11"/>
        <v/>
      </c>
      <c r="D736" s="5" t="str" cm="1">
        <f t="array" ref="D736">IF(C736="","",C736/LOOKUP(2,1/($C$1:C735&lt;&gt;""),$C$1:C735)-1)</f>
        <v/>
      </c>
    </row>
    <row r="737" spans="1:4" x14ac:dyDescent="0.25">
      <c r="A737" s="1">
        <v>45226</v>
      </c>
      <c r="B737" s="2">
        <v>296.73</v>
      </c>
      <c r="C737">
        <f t="shared" si="11"/>
        <v>296.73</v>
      </c>
      <c r="D737" cm="1">
        <f t="array" ref="D737">IF(C737="","",C737/LOOKUP(2,1/($C$1:C736&lt;&gt;""),$C$1:C736)-1)</f>
        <v>-3.861979588530684E-2</v>
      </c>
    </row>
    <row r="738" spans="1:4" hidden="1" x14ac:dyDescent="0.25">
      <c r="A738" s="1">
        <v>45229</v>
      </c>
      <c r="B738" s="2">
        <v>302.66000000000003</v>
      </c>
      <c r="C738" t="str">
        <f t="shared" si="11"/>
        <v/>
      </c>
      <c r="D738" s="5" t="str" cm="1">
        <f t="array" ref="D738">IF(C738="","",C738/LOOKUP(2,1/($C$1:C737&lt;&gt;""),$C$1:C737)-1)</f>
        <v/>
      </c>
    </row>
    <row r="739" spans="1:4" hidden="1" x14ac:dyDescent="0.25">
      <c r="A739" s="1">
        <v>45230</v>
      </c>
      <c r="B739" s="2">
        <v>301.27</v>
      </c>
      <c r="C739" t="str">
        <f t="shared" si="11"/>
        <v/>
      </c>
      <c r="D739" s="5" t="str" cm="1">
        <f t="array" ref="D739">IF(C739="","",C739/LOOKUP(2,1/($C$1:C738&lt;&gt;""),$C$1:C738)-1)</f>
        <v/>
      </c>
    </row>
    <row r="740" spans="1:4" hidden="1" x14ac:dyDescent="0.25">
      <c r="A740" s="1">
        <v>45231</v>
      </c>
      <c r="B740" s="2">
        <v>311.85000000000002</v>
      </c>
      <c r="C740" t="str">
        <f t="shared" si="11"/>
        <v/>
      </c>
      <c r="D740" s="5" t="str" cm="1">
        <f t="array" ref="D740">IF(C740="","",C740/LOOKUP(2,1/($C$1:C739&lt;&gt;""),$C$1:C739)-1)</f>
        <v/>
      </c>
    </row>
    <row r="741" spans="1:4" hidden="1" x14ac:dyDescent="0.25">
      <c r="A741" s="1">
        <v>45232</v>
      </c>
      <c r="B741" s="2">
        <v>310.87</v>
      </c>
      <c r="C741" t="str">
        <f t="shared" si="11"/>
        <v/>
      </c>
      <c r="D741" s="5" t="str" cm="1">
        <f t="array" ref="D741">IF(C741="","",C741/LOOKUP(2,1/($C$1:C740&lt;&gt;""),$C$1:C740)-1)</f>
        <v/>
      </c>
    </row>
    <row r="742" spans="1:4" x14ac:dyDescent="0.25">
      <c r="A742" s="1">
        <v>45233</v>
      </c>
      <c r="B742" s="2">
        <v>314.60000000000002</v>
      </c>
      <c r="C742">
        <f t="shared" si="11"/>
        <v>314.60000000000002</v>
      </c>
      <c r="D742" cm="1">
        <f t="array" ref="D742">IF(C742="","",C742/LOOKUP(2,1/($C$1:C741&lt;&gt;""),$C$1:C741)-1)</f>
        <v>6.0223098439659006E-2</v>
      </c>
    </row>
    <row r="743" spans="1:4" hidden="1" x14ac:dyDescent="0.25">
      <c r="A743" s="1">
        <v>45236</v>
      </c>
      <c r="B743" s="2">
        <v>315.8</v>
      </c>
      <c r="C743" t="str">
        <f t="shared" si="11"/>
        <v/>
      </c>
      <c r="D743" s="5" t="str" cm="1">
        <f t="array" ref="D743">IF(C743="","",C743/LOOKUP(2,1/($C$1:C742&lt;&gt;""),$C$1:C742)-1)</f>
        <v/>
      </c>
    </row>
    <row r="744" spans="1:4" hidden="1" x14ac:dyDescent="0.25">
      <c r="A744" s="1">
        <v>45237</v>
      </c>
      <c r="B744" s="2">
        <v>318.82</v>
      </c>
      <c r="C744" t="str">
        <f t="shared" si="11"/>
        <v/>
      </c>
      <c r="D744" s="5" t="str" cm="1">
        <f t="array" ref="D744">IF(C744="","",C744/LOOKUP(2,1/($C$1:C743&lt;&gt;""),$C$1:C743)-1)</f>
        <v/>
      </c>
    </row>
    <row r="745" spans="1:4" hidden="1" x14ac:dyDescent="0.25">
      <c r="A745" s="1">
        <v>45238</v>
      </c>
      <c r="B745" s="2">
        <v>319.77999999999997</v>
      </c>
      <c r="C745" t="str">
        <f t="shared" si="11"/>
        <v/>
      </c>
      <c r="D745" s="5" t="str" cm="1">
        <f t="array" ref="D745">IF(C745="","",C745/LOOKUP(2,1/($C$1:C744&lt;&gt;""),$C$1:C744)-1)</f>
        <v/>
      </c>
    </row>
    <row r="746" spans="1:4" hidden="1" x14ac:dyDescent="0.25">
      <c r="A746" s="1">
        <v>45239</v>
      </c>
      <c r="B746" s="2">
        <v>320.55</v>
      </c>
      <c r="C746" t="str">
        <f t="shared" si="11"/>
        <v/>
      </c>
      <c r="D746" s="5" t="str" cm="1">
        <f t="array" ref="D746">IF(C746="","",C746/LOOKUP(2,1/($C$1:C745&lt;&gt;""),$C$1:C745)-1)</f>
        <v/>
      </c>
    </row>
    <row r="747" spans="1:4" x14ac:dyDescent="0.25">
      <c r="A747" s="1">
        <v>45240</v>
      </c>
      <c r="B747" s="2">
        <v>328.77</v>
      </c>
      <c r="C747">
        <f t="shared" si="11"/>
        <v>328.77</v>
      </c>
      <c r="D747" cm="1">
        <f t="array" ref="D747">IF(C747="","",C747/LOOKUP(2,1/($C$1:C746&lt;&gt;""),$C$1:C746)-1)</f>
        <v>4.5041322314049559E-2</v>
      </c>
    </row>
    <row r="748" spans="1:4" hidden="1" x14ac:dyDescent="0.25">
      <c r="A748" s="1">
        <v>45243</v>
      </c>
      <c r="B748" s="2">
        <v>329.19</v>
      </c>
      <c r="C748" t="str">
        <f t="shared" si="11"/>
        <v/>
      </c>
      <c r="D748" s="5" t="str" cm="1">
        <f t="array" ref="D748">IF(C748="","",C748/LOOKUP(2,1/($C$1:C747&lt;&gt;""),$C$1:C747)-1)</f>
        <v/>
      </c>
    </row>
    <row r="749" spans="1:4" hidden="1" x14ac:dyDescent="0.25">
      <c r="A749" s="1">
        <v>45244</v>
      </c>
      <c r="B749" s="2">
        <v>336.31</v>
      </c>
      <c r="C749" t="str">
        <f t="shared" si="11"/>
        <v/>
      </c>
      <c r="D749" s="5" t="str" cm="1">
        <f t="array" ref="D749">IF(C749="","",C749/LOOKUP(2,1/($C$1:C748&lt;&gt;""),$C$1:C748)-1)</f>
        <v/>
      </c>
    </row>
    <row r="750" spans="1:4" hidden="1" x14ac:dyDescent="0.25">
      <c r="A750" s="1">
        <v>45245</v>
      </c>
      <c r="B750" s="2">
        <v>332.71</v>
      </c>
      <c r="C750" t="str">
        <f t="shared" si="11"/>
        <v/>
      </c>
      <c r="D750" s="5" t="str" cm="1">
        <f t="array" ref="D750">IF(C750="","",C750/LOOKUP(2,1/($C$1:C749&lt;&gt;""),$C$1:C749)-1)</f>
        <v/>
      </c>
    </row>
    <row r="751" spans="1:4" hidden="1" x14ac:dyDescent="0.25">
      <c r="A751" s="1">
        <v>45246</v>
      </c>
      <c r="B751" s="2">
        <v>334.19</v>
      </c>
      <c r="C751" t="str">
        <f t="shared" si="11"/>
        <v/>
      </c>
      <c r="D751" s="5" t="str" cm="1">
        <f t="array" ref="D751">IF(C751="","",C751/LOOKUP(2,1/($C$1:C750&lt;&gt;""),$C$1:C750)-1)</f>
        <v/>
      </c>
    </row>
    <row r="752" spans="1:4" x14ac:dyDescent="0.25">
      <c r="A752" s="1">
        <v>45247</v>
      </c>
      <c r="B752" s="2">
        <v>335.04</v>
      </c>
      <c r="C752">
        <f t="shared" si="11"/>
        <v>335.04</v>
      </c>
      <c r="D752" cm="1">
        <f t="array" ref="D752">IF(C752="","",C752/LOOKUP(2,1/($C$1:C751&lt;&gt;""),$C$1:C751)-1)</f>
        <v>1.9071083128022748E-2</v>
      </c>
    </row>
    <row r="753" spans="1:4" hidden="1" x14ac:dyDescent="0.25">
      <c r="A753" s="1">
        <v>45250</v>
      </c>
      <c r="B753" s="2">
        <v>339.97</v>
      </c>
      <c r="C753" t="str">
        <f t="shared" si="11"/>
        <v/>
      </c>
      <c r="D753" s="5" t="str" cm="1">
        <f t="array" ref="D753">IF(C753="","",C753/LOOKUP(2,1/($C$1:C752&lt;&gt;""),$C$1:C752)-1)</f>
        <v/>
      </c>
    </row>
    <row r="754" spans="1:4" hidden="1" x14ac:dyDescent="0.25">
      <c r="A754" s="1">
        <v>45251</v>
      </c>
      <c r="B754" s="2">
        <v>336.98</v>
      </c>
      <c r="C754" t="str">
        <f t="shared" si="11"/>
        <v/>
      </c>
      <c r="D754" s="5" t="str" cm="1">
        <f t="array" ref="D754">IF(C754="","",C754/LOOKUP(2,1/($C$1:C753&lt;&gt;""),$C$1:C753)-1)</f>
        <v/>
      </c>
    </row>
    <row r="755" spans="1:4" hidden="1" x14ac:dyDescent="0.25">
      <c r="A755" s="1">
        <v>45252</v>
      </c>
      <c r="B755" s="2">
        <v>341.49</v>
      </c>
      <c r="C755" t="str">
        <f t="shared" si="11"/>
        <v/>
      </c>
      <c r="D755" s="5" t="str" cm="1">
        <f t="array" ref="D755">IF(C755="","",C755/LOOKUP(2,1/($C$1:C754&lt;&gt;""),$C$1:C754)-1)</f>
        <v/>
      </c>
    </row>
    <row r="756" spans="1:4" x14ac:dyDescent="0.25">
      <c r="A756" s="1">
        <v>45254</v>
      </c>
      <c r="B756" s="2">
        <v>338.23</v>
      </c>
      <c r="C756">
        <f t="shared" si="11"/>
        <v>338.23</v>
      </c>
      <c r="D756" cm="1">
        <f t="array" ref="D756">IF(C756="","",C756/LOOKUP(2,1/($C$1:C755&lt;&gt;""),$C$1:C755)-1)</f>
        <v>9.521251193887359E-3</v>
      </c>
    </row>
    <row r="757" spans="1:4" hidden="1" x14ac:dyDescent="0.25">
      <c r="A757" s="1">
        <v>45257</v>
      </c>
      <c r="B757" s="2">
        <v>334.7</v>
      </c>
      <c r="C757" t="str">
        <f t="shared" si="11"/>
        <v/>
      </c>
      <c r="D757" s="5" t="str" cm="1">
        <f t="array" ref="D757">IF(C757="","",C757/LOOKUP(2,1/($C$1:C756&lt;&gt;""),$C$1:C756)-1)</f>
        <v/>
      </c>
    </row>
    <row r="758" spans="1:4" hidden="1" x14ac:dyDescent="0.25">
      <c r="A758" s="1">
        <v>45258</v>
      </c>
      <c r="B758" s="2">
        <v>338.99</v>
      </c>
      <c r="C758" t="str">
        <f t="shared" si="11"/>
        <v/>
      </c>
      <c r="D758" s="5" t="str" cm="1">
        <f t="array" ref="D758">IF(C758="","",C758/LOOKUP(2,1/($C$1:C757&lt;&gt;""),$C$1:C757)-1)</f>
        <v/>
      </c>
    </row>
    <row r="759" spans="1:4" hidden="1" x14ac:dyDescent="0.25">
      <c r="A759" s="1">
        <v>45259</v>
      </c>
      <c r="B759" s="2">
        <v>332.2</v>
      </c>
      <c r="C759" t="str">
        <f t="shared" si="11"/>
        <v/>
      </c>
      <c r="D759" s="5" t="str" cm="1">
        <f t="array" ref="D759">IF(C759="","",C759/LOOKUP(2,1/($C$1:C758&lt;&gt;""),$C$1:C758)-1)</f>
        <v/>
      </c>
    </row>
    <row r="760" spans="1:4" hidden="1" x14ac:dyDescent="0.25">
      <c r="A760" s="1">
        <v>45260</v>
      </c>
      <c r="B760" s="2">
        <v>327.14999999999998</v>
      </c>
      <c r="C760" t="str">
        <f t="shared" si="11"/>
        <v/>
      </c>
      <c r="D760" s="5" t="str" cm="1">
        <f t="array" ref="D760">IF(C760="","",C760/LOOKUP(2,1/($C$1:C759&lt;&gt;""),$C$1:C759)-1)</f>
        <v/>
      </c>
    </row>
    <row r="761" spans="1:4" x14ac:dyDescent="0.25">
      <c r="A761" s="1">
        <v>45261</v>
      </c>
      <c r="B761" s="2">
        <v>324.82</v>
      </c>
      <c r="C761">
        <f t="shared" si="11"/>
        <v>324.82</v>
      </c>
      <c r="D761" cm="1">
        <f t="array" ref="D761">IF(C761="","",C761/LOOKUP(2,1/($C$1:C760&lt;&gt;""),$C$1:C760)-1)</f>
        <v>-3.9647577092511099E-2</v>
      </c>
    </row>
    <row r="762" spans="1:4" hidden="1" x14ac:dyDescent="0.25">
      <c r="A762" s="1">
        <v>45264</v>
      </c>
      <c r="B762" s="2">
        <v>320.02</v>
      </c>
      <c r="C762" t="str">
        <f t="shared" si="11"/>
        <v/>
      </c>
      <c r="D762" s="5" t="str" cm="1">
        <f t="array" ref="D762">IF(C762="","",C762/LOOKUP(2,1/($C$1:C761&lt;&gt;""),$C$1:C761)-1)</f>
        <v/>
      </c>
    </row>
    <row r="763" spans="1:4" hidden="1" x14ac:dyDescent="0.25">
      <c r="A763" s="1">
        <v>45265</v>
      </c>
      <c r="B763" s="2">
        <v>318.29000000000002</v>
      </c>
      <c r="C763" t="str">
        <f t="shared" si="11"/>
        <v/>
      </c>
      <c r="D763" s="5" t="str" cm="1">
        <f t="array" ref="D763">IF(C763="","",C763/LOOKUP(2,1/($C$1:C762&lt;&gt;""),$C$1:C762)-1)</f>
        <v/>
      </c>
    </row>
    <row r="764" spans="1:4" hidden="1" x14ac:dyDescent="0.25">
      <c r="A764" s="1">
        <v>45266</v>
      </c>
      <c r="B764" s="2">
        <v>317.45</v>
      </c>
      <c r="C764" t="str">
        <f t="shared" si="11"/>
        <v/>
      </c>
      <c r="D764" s="5" t="str" cm="1">
        <f t="array" ref="D764">IF(C764="","",C764/LOOKUP(2,1/($C$1:C763&lt;&gt;""),$C$1:C763)-1)</f>
        <v/>
      </c>
    </row>
    <row r="765" spans="1:4" hidden="1" x14ac:dyDescent="0.25">
      <c r="A765" s="1">
        <v>45267</v>
      </c>
      <c r="B765" s="2">
        <v>326.58999999999997</v>
      </c>
      <c r="C765" t="str">
        <f t="shared" si="11"/>
        <v/>
      </c>
      <c r="D765" s="5" t="str" cm="1">
        <f t="array" ref="D765">IF(C765="","",C765/LOOKUP(2,1/($C$1:C764&lt;&gt;""),$C$1:C764)-1)</f>
        <v/>
      </c>
    </row>
    <row r="766" spans="1:4" x14ac:dyDescent="0.25">
      <c r="A766" s="1">
        <v>45268</v>
      </c>
      <c r="B766" s="2">
        <v>332.75</v>
      </c>
      <c r="C766">
        <f t="shared" si="11"/>
        <v>332.75</v>
      </c>
      <c r="D766" cm="1">
        <f t="array" ref="D766">IF(C766="","",C766/LOOKUP(2,1/($C$1:C765&lt;&gt;""),$C$1:C765)-1)</f>
        <v>2.4413521334893273E-2</v>
      </c>
    </row>
    <row r="767" spans="1:4" hidden="1" x14ac:dyDescent="0.25">
      <c r="A767" s="1">
        <v>45271</v>
      </c>
      <c r="B767" s="2">
        <v>325.27999999999997</v>
      </c>
      <c r="C767" t="str">
        <f t="shared" si="11"/>
        <v/>
      </c>
      <c r="D767" s="5" t="str" cm="1">
        <f t="array" ref="D767">IF(C767="","",C767/LOOKUP(2,1/($C$1:C766&lt;&gt;""),$C$1:C766)-1)</f>
        <v/>
      </c>
    </row>
    <row r="768" spans="1:4" hidden="1" x14ac:dyDescent="0.25">
      <c r="A768" s="1">
        <v>45272</v>
      </c>
      <c r="B768" s="2">
        <v>334.22</v>
      </c>
      <c r="C768" t="str">
        <f t="shared" si="11"/>
        <v/>
      </c>
      <c r="D768" s="5" t="str" cm="1">
        <f t="array" ref="D768">IF(C768="","",C768/LOOKUP(2,1/($C$1:C767&lt;&gt;""),$C$1:C767)-1)</f>
        <v/>
      </c>
    </row>
    <row r="769" spans="1:4" hidden="1" x14ac:dyDescent="0.25">
      <c r="A769" s="1">
        <v>45273</v>
      </c>
      <c r="B769" s="2">
        <v>334.74</v>
      </c>
      <c r="C769" t="str">
        <f t="shared" si="11"/>
        <v/>
      </c>
      <c r="D769" s="5" t="str" cm="1">
        <f t="array" ref="D769">IF(C769="","",C769/LOOKUP(2,1/($C$1:C768&lt;&gt;""),$C$1:C768)-1)</f>
        <v/>
      </c>
    </row>
    <row r="770" spans="1:4" hidden="1" x14ac:dyDescent="0.25">
      <c r="A770" s="1">
        <v>45274</v>
      </c>
      <c r="B770" s="2">
        <v>333.17</v>
      </c>
      <c r="C770" t="str">
        <f t="shared" si="11"/>
        <v/>
      </c>
      <c r="D770" s="5" t="str" cm="1">
        <f t="array" ref="D770">IF(C770="","",C770/LOOKUP(2,1/($C$1:C769&lt;&gt;""),$C$1:C769)-1)</f>
        <v/>
      </c>
    </row>
    <row r="771" spans="1:4" x14ac:dyDescent="0.25">
      <c r="A771" s="1">
        <v>45275</v>
      </c>
      <c r="B771" s="2">
        <v>334.92</v>
      </c>
      <c r="C771">
        <f t="shared" ref="C771:C834" si="12">IF(WEEKNUM(A771)&lt;&gt;WEEKNUM(A772),B771,"")</f>
        <v>334.92</v>
      </c>
      <c r="D771" cm="1">
        <f t="array" ref="D771">IF(C771="","",C771/LOOKUP(2,1/($C$1:C770&lt;&gt;""),$C$1:C770)-1)</f>
        <v>6.5214124718258049E-3</v>
      </c>
    </row>
    <row r="772" spans="1:4" hidden="1" x14ac:dyDescent="0.25">
      <c r="A772" s="1">
        <v>45278</v>
      </c>
      <c r="B772" s="2">
        <v>344.62</v>
      </c>
      <c r="C772" t="str">
        <f t="shared" si="12"/>
        <v/>
      </c>
      <c r="D772" s="5" t="str" cm="1">
        <f t="array" ref="D772">IF(C772="","",C772/LOOKUP(2,1/($C$1:C771&lt;&gt;""),$C$1:C771)-1)</f>
        <v/>
      </c>
    </row>
    <row r="773" spans="1:4" hidden="1" x14ac:dyDescent="0.25">
      <c r="A773" s="1">
        <v>45279</v>
      </c>
      <c r="B773" s="2">
        <v>350.36</v>
      </c>
      <c r="C773" t="str">
        <f t="shared" si="12"/>
        <v/>
      </c>
      <c r="D773" s="5" t="str" cm="1">
        <f t="array" ref="D773">IF(C773="","",C773/LOOKUP(2,1/($C$1:C772&lt;&gt;""),$C$1:C772)-1)</f>
        <v/>
      </c>
    </row>
    <row r="774" spans="1:4" hidden="1" x14ac:dyDescent="0.25">
      <c r="A774" s="1">
        <v>45280</v>
      </c>
      <c r="B774" s="2">
        <v>349.28</v>
      </c>
      <c r="C774" t="str">
        <f t="shared" si="12"/>
        <v/>
      </c>
      <c r="D774" s="5" t="str" cm="1">
        <f t="array" ref="D774">IF(C774="","",C774/LOOKUP(2,1/($C$1:C773&lt;&gt;""),$C$1:C773)-1)</f>
        <v/>
      </c>
    </row>
    <row r="775" spans="1:4" hidden="1" x14ac:dyDescent="0.25">
      <c r="A775" s="1">
        <v>45281</v>
      </c>
      <c r="B775" s="2">
        <v>354.09</v>
      </c>
      <c r="C775" t="str">
        <f t="shared" si="12"/>
        <v/>
      </c>
      <c r="D775" s="5" t="str" cm="1">
        <f t="array" ref="D775">IF(C775="","",C775/LOOKUP(2,1/($C$1:C774&lt;&gt;""),$C$1:C774)-1)</f>
        <v/>
      </c>
    </row>
    <row r="776" spans="1:4" x14ac:dyDescent="0.25">
      <c r="A776" s="1">
        <v>45282</v>
      </c>
      <c r="B776" s="2">
        <v>353.39</v>
      </c>
      <c r="C776">
        <f t="shared" si="12"/>
        <v>353.39</v>
      </c>
      <c r="D776" cm="1">
        <f t="array" ref="D776">IF(C776="","",C776/LOOKUP(2,1/($C$1:C775&lt;&gt;""),$C$1:C775)-1)</f>
        <v>5.5147497909948662E-2</v>
      </c>
    </row>
    <row r="777" spans="1:4" hidden="1" x14ac:dyDescent="0.25">
      <c r="A777" s="1">
        <v>45286</v>
      </c>
      <c r="B777" s="2">
        <v>354.83</v>
      </c>
      <c r="C777" t="str">
        <f t="shared" si="12"/>
        <v/>
      </c>
      <c r="D777" s="5" t="str" cm="1">
        <f t="array" ref="D777">IF(C777="","",C777/LOOKUP(2,1/($C$1:C776&lt;&gt;""),$C$1:C776)-1)</f>
        <v/>
      </c>
    </row>
    <row r="778" spans="1:4" hidden="1" x14ac:dyDescent="0.25">
      <c r="A778" s="1">
        <v>45287</v>
      </c>
      <c r="B778" s="2">
        <v>357.83</v>
      </c>
      <c r="C778" t="str">
        <f t="shared" si="12"/>
        <v/>
      </c>
      <c r="D778" s="5" t="str" cm="1">
        <f t="array" ref="D778">IF(C778="","",C778/LOOKUP(2,1/($C$1:C777&lt;&gt;""),$C$1:C777)-1)</f>
        <v/>
      </c>
    </row>
    <row r="779" spans="1:4" hidden="1" x14ac:dyDescent="0.25">
      <c r="A779" s="1">
        <v>45288</v>
      </c>
      <c r="B779" s="2">
        <v>358.32</v>
      </c>
      <c r="C779" t="str">
        <f t="shared" si="12"/>
        <v/>
      </c>
      <c r="D779" s="5" t="str" cm="1">
        <f t="array" ref="D779">IF(C779="","",C779/LOOKUP(2,1/($C$1:C778&lt;&gt;""),$C$1:C778)-1)</f>
        <v/>
      </c>
    </row>
    <row r="780" spans="1:4" x14ac:dyDescent="0.25">
      <c r="A780" s="1">
        <v>45289</v>
      </c>
      <c r="B780" s="2">
        <v>353.96</v>
      </c>
      <c r="C780">
        <f t="shared" si="12"/>
        <v>353.96</v>
      </c>
      <c r="D780" cm="1">
        <f t="array" ref="D780">IF(C780="","",C780/LOOKUP(2,1/($C$1:C779&lt;&gt;""),$C$1:C779)-1)</f>
        <v>1.6129488666911662E-3</v>
      </c>
    </row>
    <row r="781" spans="1:4" hidden="1" x14ac:dyDescent="0.25">
      <c r="A781" s="1">
        <v>45293</v>
      </c>
      <c r="B781" s="2">
        <v>346.29</v>
      </c>
      <c r="C781" t="str">
        <f t="shared" si="12"/>
        <v/>
      </c>
      <c r="D781" s="5" t="str" cm="1">
        <f t="array" ref="D781">IF(C781="","",C781/LOOKUP(2,1/($C$1:C780&lt;&gt;""),$C$1:C780)-1)</f>
        <v/>
      </c>
    </row>
    <row r="782" spans="1:4" hidden="1" x14ac:dyDescent="0.25">
      <c r="A782" s="1">
        <v>45294</v>
      </c>
      <c r="B782" s="2">
        <v>344.47</v>
      </c>
      <c r="C782" t="str">
        <f t="shared" si="12"/>
        <v/>
      </c>
      <c r="D782" s="5" t="str" cm="1">
        <f t="array" ref="D782">IF(C782="","",C782/LOOKUP(2,1/($C$1:C781&lt;&gt;""),$C$1:C781)-1)</f>
        <v/>
      </c>
    </row>
    <row r="783" spans="1:4" hidden="1" x14ac:dyDescent="0.25">
      <c r="A783" s="1">
        <v>45295</v>
      </c>
      <c r="B783" s="2">
        <v>347.12</v>
      </c>
      <c r="C783" t="str">
        <f t="shared" si="12"/>
        <v/>
      </c>
      <c r="D783" s="5" t="str" cm="1">
        <f t="array" ref="D783">IF(C783="","",C783/LOOKUP(2,1/($C$1:C782&lt;&gt;""),$C$1:C782)-1)</f>
        <v/>
      </c>
    </row>
    <row r="784" spans="1:4" x14ac:dyDescent="0.25">
      <c r="A784" s="1">
        <v>45296</v>
      </c>
      <c r="B784" s="2">
        <v>351.95</v>
      </c>
      <c r="C784">
        <f t="shared" si="12"/>
        <v>351.95</v>
      </c>
      <c r="D784" cm="1">
        <f t="array" ref="D784">IF(C784="","",C784/LOOKUP(2,1/($C$1:C783&lt;&gt;""),$C$1:C783)-1)</f>
        <v>-5.6786077522883449E-3</v>
      </c>
    </row>
    <row r="785" spans="1:4" hidden="1" x14ac:dyDescent="0.25">
      <c r="A785" s="1">
        <v>45299</v>
      </c>
      <c r="B785" s="2">
        <v>358.66</v>
      </c>
      <c r="C785" t="str">
        <f t="shared" si="12"/>
        <v/>
      </c>
      <c r="D785" s="5" t="str" cm="1">
        <f t="array" ref="D785">IF(C785="","",C785/LOOKUP(2,1/($C$1:C784&lt;&gt;""),$C$1:C784)-1)</f>
        <v/>
      </c>
    </row>
    <row r="786" spans="1:4" hidden="1" x14ac:dyDescent="0.25">
      <c r="A786" s="1">
        <v>45300</v>
      </c>
      <c r="B786" s="2">
        <v>357.43</v>
      </c>
      <c r="C786" t="str">
        <f t="shared" si="12"/>
        <v/>
      </c>
      <c r="D786" s="5" t="str" cm="1">
        <f t="array" ref="D786">IF(C786="","",C786/LOOKUP(2,1/($C$1:C785&lt;&gt;""),$C$1:C785)-1)</f>
        <v/>
      </c>
    </row>
    <row r="787" spans="1:4" hidden="1" x14ac:dyDescent="0.25">
      <c r="A787" s="1">
        <v>45301</v>
      </c>
      <c r="B787" s="2">
        <v>370.47</v>
      </c>
      <c r="C787" t="str">
        <f t="shared" si="12"/>
        <v/>
      </c>
      <c r="D787" s="5" t="str" cm="1">
        <f t="array" ref="D787">IF(C787="","",C787/LOOKUP(2,1/($C$1:C786&lt;&gt;""),$C$1:C786)-1)</f>
        <v/>
      </c>
    </row>
    <row r="788" spans="1:4" hidden="1" x14ac:dyDescent="0.25">
      <c r="A788" s="1">
        <v>45302</v>
      </c>
      <c r="B788" s="2">
        <v>369.67</v>
      </c>
      <c r="C788" t="str">
        <f t="shared" si="12"/>
        <v/>
      </c>
      <c r="D788" s="5" t="str" cm="1">
        <f t="array" ref="D788">IF(C788="","",C788/LOOKUP(2,1/($C$1:C787&lt;&gt;""),$C$1:C787)-1)</f>
        <v/>
      </c>
    </row>
    <row r="789" spans="1:4" x14ac:dyDescent="0.25">
      <c r="A789" s="1">
        <v>45303</v>
      </c>
      <c r="B789" s="2">
        <v>374.49</v>
      </c>
      <c r="C789">
        <f t="shared" si="12"/>
        <v>374.49</v>
      </c>
      <c r="D789" cm="1">
        <f t="array" ref="D789">IF(C789="","",C789/LOOKUP(2,1/($C$1:C788&lt;&gt;""),$C$1:C788)-1)</f>
        <v>6.4043187952834257E-2</v>
      </c>
    </row>
    <row r="790" spans="1:4" hidden="1" x14ac:dyDescent="0.25">
      <c r="A790" s="1">
        <v>45307</v>
      </c>
      <c r="B790" s="2">
        <v>367.46</v>
      </c>
      <c r="C790" t="str">
        <f t="shared" si="12"/>
        <v/>
      </c>
      <c r="D790" s="5" t="str" cm="1">
        <f t="array" ref="D790">IF(C790="","",C790/LOOKUP(2,1/($C$1:C789&lt;&gt;""),$C$1:C789)-1)</f>
        <v/>
      </c>
    </row>
    <row r="791" spans="1:4" hidden="1" x14ac:dyDescent="0.25">
      <c r="A791" s="1">
        <v>45308</v>
      </c>
      <c r="B791" s="2">
        <v>368.37</v>
      </c>
      <c r="C791" t="str">
        <f t="shared" si="12"/>
        <v/>
      </c>
      <c r="D791" s="5" t="str" cm="1">
        <f t="array" ref="D791">IF(C791="","",C791/LOOKUP(2,1/($C$1:C790&lt;&gt;""),$C$1:C790)-1)</f>
        <v/>
      </c>
    </row>
    <row r="792" spans="1:4" hidden="1" x14ac:dyDescent="0.25">
      <c r="A792" s="1">
        <v>45309</v>
      </c>
      <c r="B792" s="2">
        <v>376.13</v>
      </c>
      <c r="C792" t="str">
        <f t="shared" si="12"/>
        <v/>
      </c>
      <c r="D792" s="5" t="str" cm="1">
        <f t="array" ref="D792">IF(C792="","",C792/LOOKUP(2,1/($C$1:C791&lt;&gt;""),$C$1:C791)-1)</f>
        <v/>
      </c>
    </row>
    <row r="793" spans="1:4" x14ac:dyDescent="0.25">
      <c r="A793" s="1">
        <v>45310</v>
      </c>
      <c r="B793" s="2">
        <v>383.45</v>
      </c>
      <c r="C793">
        <f t="shared" si="12"/>
        <v>383.45</v>
      </c>
      <c r="D793" cm="1">
        <f t="array" ref="D793">IF(C793="","",C793/LOOKUP(2,1/($C$1:C792&lt;&gt;""),$C$1:C792)-1)</f>
        <v>2.3925872519960478E-2</v>
      </c>
    </row>
    <row r="794" spans="1:4" hidden="1" x14ac:dyDescent="0.25">
      <c r="A794" s="1">
        <v>45313</v>
      </c>
      <c r="B794" s="2">
        <v>381.78</v>
      </c>
      <c r="C794" t="str">
        <f t="shared" si="12"/>
        <v/>
      </c>
      <c r="D794" s="5" t="str" cm="1">
        <f t="array" ref="D794">IF(C794="","",C794/LOOKUP(2,1/($C$1:C793&lt;&gt;""),$C$1:C793)-1)</f>
        <v/>
      </c>
    </row>
    <row r="795" spans="1:4" hidden="1" x14ac:dyDescent="0.25">
      <c r="A795" s="1">
        <v>45314</v>
      </c>
      <c r="B795" s="2">
        <v>385.2</v>
      </c>
      <c r="C795" t="str">
        <f t="shared" si="12"/>
        <v/>
      </c>
      <c r="D795" s="5" t="str" cm="1">
        <f t="array" ref="D795">IF(C795="","",C795/LOOKUP(2,1/($C$1:C794&lt;&gt;""),$C$1:C794)-1)</f>
        <v/>
      </c>
    </row>
    <row r="796" spans="1:4" hidden="1" x14ac:dyDescent="0.25">
      <c r="A796" s="1">
        <v>45315</v>
      </c>
      <c r="B796" s="2">
        <v>390.7</v>
      </c>
      <c r="C796" t="str">
        <f t="shared" si="12"/>
        <v/>
      </c>
      <c r="D796" s="5" t="str" cm="1">
        <f t="array" ref="D796">IF(C796="","",C796/LOOKUP(2,1/($C$1:C795&lt;&gt;""),$C$1:C795)-1)</f>
        <v/>
      </c>
    </row>
    <row r="797" spans="1:4" hidden="1" x14ac:dyDescent="0.25">
      <c r="A797" s="1">
        <v>45316</v>
      </c>
      <c r="B797" s="2">
        <v>393.18</v>
      </c>
      <c r="C797" t="str">
        <f t="shared" si="12"/>
        <v/>
      </c>
      <c r="D797" s="5" t="str" cm="1">
        <f t="array" ref="D797">IF(C797="","",C797/LOOKUP(2,1/($C$1:C796&lt;&gt;""),$C$1:C796)-1)</f>
        <v/>
      </c>
    </row>
    <row r="798" spans="1:4" x14ac:dyDescent="0.25">
      <c r="A798" s="1">
        <v>45317</v>
      </c>
      <c r="B798" s="2">
        <v>394.14</v>
      </c>
      <c r="C798">
        <f t="shared" si="12"/>
        <v>394.14</v>
      </c>
      <c r="D798" cm="1">
        <f t="array" ref="D798">IF(C798="","",C798/LOOKUP(2,1/($C$1:C797&lt;&gt;""),$C$1:C797)-1)</f>
        <v>2.7878471769461566E-2</v>
      </c>
    </row>
    <row r="799" spans="1:4" hidden="1" x14ac:dyDescent="0.25">
      <c r="A799" s="1">
        <v>45320</v>
      </c>
      <c r="B799" s="2">
        <v>401.02</v>
      </c>
      <c r="C799" t="str">
        <f t="shared" si="12"/>
        <v/>
      </c>
      <c r="D799" s="5" t="str" cm="1">
        <f t="array" ref="D799">IF(C799="","",C799/LOOKUP(2,1/($C$1:C798&lt;&gt;""),$C$1:C798)-1)</f>
        <v/>
      </c>
    </row>
    <row r="800" spans="1:4" hidden="1" x14ac:dyDescent="0.25">
      <c r="A800" s="1">
        <v>45321</v>
      </c>
      <c r="B800" s="2">
        <v>400.06</v>
      </c>
      <c r="C800" t="str">
        <f t="shared" si="12"/>
        <v/>
      </c>
      <c r="D800" s="5" t="str" cm="1">
        <f t="array" ref="D800">IF(C800="","",C800/LOOKUP(2,1/($C$1:C799&lt;&gt;""),$C$1:C799)-1)</f>
        <v/>
      </c>
    </row>
    <row r="801" spans="1:4" hidden="1" x14ac:dyDescent="0.25">
      <c r="A801" s="1">
        <v>45322</v>
      </c>
      <c r="B801" s="2">
        <v>390.14</v>
      </c>
      <c r="C801" t="str">
        <f t="shared" si="12"/>
        <v/>
      </c>
      <c r="D801" s="5" t="str" cm="1">
        <f t="array" ref="D801">IF(C801="","",C801/LOOKUP(2,1/($C$1:C800&lt;&gt;""),$C$1:C800)-1)</f>
        <v/>
      </c>
    </row>
    <row r="802" spans="1:4" hidden="1" x14ac:dyDescent="0.25">
      <c r="A802" s="1">
        <v>45323</v>
      </c>
      <c r="B802" s="2">
        <v>394.78</v>
      </c>
      <c r="C802" t="str">
        <f t="shared" si="12"/>
        <v/>
      </c>
      <c r="D802" s="5" t="str" cm="1">
        <f t="array" ref="D802">IF(C802="","",C802/LOOKUP(2,1/($C$1:C801&lt;&gt;""),$C$1:C801)-1)</f>
        <v/>
      </c>
    </row>
    <row r="803" spans="1:4" x14ac:dyDescent="0.25">
      <c r="A803" s="1">
        <v>45324</v>
      </c>
      <c r="B803" s="2">
        <v>474.99</v>
      </c>
      <c r="C803">
        <f t="shared" si="12"/>
        <v>474.99</v>
      </c>
      <c r="D803" cm="1">
        <f t="array" ref="D803">IF(C803="","",C803/LOOKUP(2,1/($C$1:C802&lt;&gt;""),$C$1:C802)-1)</f>
        <v>0.20513015679707713</v>
      </c>
    </row>
    <row r="804" spans="1:4" hidden="1" x14ac:dyDescent="0.25">
      <c r="A804" s="1">
        <v>45327</v>
      </c>
      <c r="B804" s="2">
        <v>459.41</v>
      </c>
      <c r="C804" t="str">
        <f t="shared" si="12"/>
        <v/>
      </c>
      <c r="D804" s="5" t="str" cm="1">
        <f t="array" ref="D804">IF(C804="","",C804/LOOKUP(2,1/($C$1:C803&lt;&gt;""),$C$1:C803)-1)</f>
        <v/>
      </c>
    </row>
    <row r="805" spans="1:4" hidden="1" x14ac:dyDescent="0.25">
      <c r="A805" s="1">
        <v>45328</v>
      </c>
      <c r="B805" s="2">
        <v>454.72</v>
      </c>
      <c r="C805" t="str">
        <f t="shared" si="12"/>
        <v/>
      </c>
      <c r="D805" s="5" t="str" cm="1">
        <f t="array" ref="D805">IF(C805="","",C805/LOOKUP(2,1/($C$1:C804&lt;&gt;""),$C$1:C804)-1)</f>
        <v/>
      </c>
    </row>
    <row r="806" spans="1:4" hidden="1" x14ac:dyDescent="0.25">
      <c r="A806" s="1">
        <v>45329</v>
      </c>
      <c r="B806" s="2">
        <v>469.59</v>
      </c>
      <c r="C806" t="str">
        <f t="shared" si="12"/>
        <v/>
      </c>
      <c r="D806" s="5" t="str" cm="1">
        <f t="array" ref="D806">IF(C806="","",C806/LOOKUP(2,1/($C$1:C805&lt;&gt;""),$C$1:C805)-1)</f>
        <v/>
      </c>
    </row>
    <row r="807" spans="1:4" hidden="1" x14ac:dyDescent="0.25">
      <c r="A807" s="1">
        <v>45330</v>
      </c>
      <c r="B807" s="2">
        <v>470</v>
      </c>
      <c r="C807" t="str">
        <f t="shared" si="12"/>
        <v/>
      </c>
      <c r="D807" s="5" t="str" cm="1">
        <f t="array" ref="D807">IF(C807="","",C807/LOOKUP(2,1/($C$1:C806&lt;&gt;""),$C$1:C806)-1)</f>
        <v/>
      </c>
    </row>
    <row r="808" spans="1:4" x14ac:dyDescent="0.25">
      <c r="A808" s="1">
        <v>45331</v>
      </c>
      <c r="B808" s="2">
        <v>468.11</v>
      </c>
      <c r="C808">
        <f t="shared" si="12"/>
        <v>468.11</v>
      </c>
      <c r="D808" cm="1">
        <f t="array" ref="D808">IF(C808="","",C808/LOOKUP(2,1/($C$1:C807&lt;&gt;""),$C$1:C807)-1)</f>
        <v>-1.4484515463483394E-2</v>
      </c>
    </row>
    <row r="809" spans="1:4" hidden="1" x14ac:dyDescent="0.25">
      <c r="A809" s="1">
        <v>45334</v>
      </c>
      <c r="B809" s="2">
        <v>468.9</v>
      </c>
      <c r="C809" t="str">
        <f t="shared" si="12"/>
        <v/>
      </c>
      <c r="D809" s="5" t="str" cm="1">
        <f t="array" ref="D809">IF(C809="","",C809/LOOKUP(2,1/($C$1:C808&lt;&gt;""),$C$1:C808)-1)</f>
        <v/>
      </c>
    </row>
    <row r="810" spans="1:4" hidden="1" x14ac:dyDescent="0.25">
      <c r="A810" s="1">
        <v>45335</v>
      </c>
      <c r="B810" s="2">
        <v>460.12</v>
      </c>
      <c r="C810" t="str">
        <f t="shared" si="12"/>
        <v/>
      </c>
      <c r="D810" s="5" t="str" cm="1">
        <f t="array" ref="D810">IF(C810="","",C810/LOOKUP(2,1/($C$1:C809&lt;&gt;""),$C$1:C809)-1)</f>
        <v/>
      </c>
    </row>
    <row r="811" spans="1:4" hidden="1" x14ac:dyDescent="0.25">
      <c r="A811" s="1">
        <v>45336</v>
      </c>
      <c r="B811" s="2">
        <v>473.28</v>
      </c>
      <c r="C811" t="str">
        <f t="shared" si="12"/>
        <v/>
      </c>
      <c r="D811" s="5" t="str" cm="1">
        <f t="array" ref="D811">IF(C811="","",C811/LOOKUP(2,1/($C$1:C810&lt;&gt;""),$C$1:C810)-1)</f>
        <v/>
      </c>
    </row>
    <row r="812" spans="1:4" hidden="1" x14ac:dyDescent="0.25">
      <c r="A812" s="1">
        <v>45337</v>
      </c>
      <c r="B812" s="2">
        <v>484.03</v>
      </c>
      <c r="C812" t="str">
        <f t="shared" si="12"/>
        <v/>
      </c>
      <c r="D812" s="5" t="str" cm="1">
        <f t="array" ref="D812">IF(C812="","",C812/LOOKUP(2,1/($C$1:C811&lt;&gt;""),$C$1:C811)-1)</f>
        <v/>
      </c>
    </row>
    <row r="813" spans="1:4" x14ac:dyDescent="0.25">
      <c r="A813" s="1">
        <v>45338</v>
      </c>
      <c r="B813" s="2">
        <v>473.32</v>
      </c>
      <c r="C813">
        <f t="shared" si="12"/>
        <v>473.32</v>
      </c>
      <c r="D813" cm="1">
        <f t="array" ref="D813">IF(C813="","",C813/LOOKUP(2,1/($C$1:C812&lt;&gt;""),$C$1:C812)-1)</f>
        <v>1.1129862639123189E-2</v>
      </c>
    </row>
    <row r="814" spans="1:4" hidden="1" x14ac:dyDescent="0.25">
      <c r="A814" s="1">
        <v>45342</v>
      </c>
      <c r="B814" s="2">
        <v>471.75</v>
      </c>
      <c r="C814" t="str">
        <f t="shared" si="12"/>
        <v/>
      </c>
      <c r="D814" s="5" t="str" cm="1">
        <f t="array" ref="D814">IF(C814="","",C814/LOOKUP(2,1/($C$1:C813&lt;&gt;""),$C$1:C813)-1)</f>
        <v/>
      </c>
    </row>
    <row r="815" spans="1:4" hidden="1" x14ac:dyDescent="0.25">
      <c r="A815" s="1">
        <v>45343</v>
      </c>
      <c r="B815" s="2">
        <v>468.03</v>
      </c>
      <c r="C815" t="str">
        <f t="shared" si="12"/>
        <v/>
      </c>
      <c r="D815" s="5" t="str" cm="1">
        <f t="array" ref="D815">IF(C815="","",C815/LOOKUP(2,1/($C$1:C814&lt;&gt;""),$C$1:C814)-1)</f>
        <v/>
      </c>
    </row>
    <row r="816" spans="1:4" hidden="1" x14ac:dyDescent="0.25">
      <c r="A816" s="1">
        <v>45344</v>
      </c>
      <c r="B816" s="2">
        <v>486.13</v>
      </c>
      <c r="C816" t="str">
        <f t="shared" si="12"/>
        <v/>
      </c>
      <c r="D816" s="5" t="str" cm="1">
        <f t="array" ref="D816">IF(C816="","",C816/LOOKUP(2,1/($C$1:C815&lt;&gt;""),$C$1:C815)-1)</f>
        <v/>
      </c>
    </row>
    <row r="817" spans="1:4" x14ac:dyDescent="0.25">
      <c r="A817" s="1">
        <v>45345</v>
      </c>
      <c r="B817" s="2">
        <v>484.03</v>
      </c>
      <c r="C817">
        <f t="shared" si="12"/>
        <v>484.03</v>
      </c>
      <c r="D817" cm="1">
        <f t="array" ref="D817">IF(C817="","",C817/LOOKUP(2,1/($C$1:C816&lt;&gt;""),$C$1:C816)-1)</f>
        <v>2.2627397954871897E-2</v>
      </c>
    </row>
    <row r="818" spans="1:4" hidden="1" x14ac:dyDescent="0.25">
      <c r="A818" s="1">
        <v>45348</v>
      </c>
      <c r="B818" s="2">
        <v>481.74</v>
      </c>
      <c r="C818" t="str">
        <f t="shared" si="12"/>
        <v/>
      </c>
      <c r="D818" s="5" t="str" cm="1">
        <f t="array" ref="D818">IF(C818="","",C818/LOOKUP(2,1/($C$1:C817&lt;&gt;""),$C$1:C817)-1)</f>
        <v/>
      </c>
    </row>
    <row r="819" spans="1:4" hidden="1" x14ac:dyDescent="0.25">
      <c r="A819" s="1">
        <v>45349</v>
      </c>
      <c r="B819" s="2">
        <v>487.05</v>
      </c>
      <c r="C819" t="str">
        <f t="shared" si="12"/>
        <v/>
      </c>
      <c r="D819" s="5" t="str" cm="1">
        <f t="array" ref="D819">IF(C819="","",C819/LOOKUP(2,1/($C$1:C818&lt;&gt;""),$C$1:C818)-1)</f>
        <v/>
      </c>
    </row>
    <row r="820" spans="1:4" hidden="1" x14ac:dyDescent="0.25">
      <c r="A820" s="1">
        <v>45350</v>
      </c>
      <c r="B820" s="2">
        <v>484.02</v>
      </c>
      <c r="C820" t="str">
        <f t="shared" si="12"/>
        <v/>
      </c>
      <c r="D820" s="5" t="str" cm="1">
        <f t="array" ref="D820">IF(C820="","",C820/LOOKUP(2,1/($C$1:C819&lt;&gt;""),$C$1:C819)-1)</f>
        <v/>
      </c>
    </row>
    <row r="821" spans="1:4" hidden="1" x14ac:dyDescent="0.25">
      <c r="A821" s="1">
        <v>45351</v>
      </c>
      <c r="B821" s="2">
        <v>490.13</v>
      </c>
      <c r="C821" t="str">
        <f t="shared" si="12"/>
        <v/>
      </c>
      <c r="D821" s="5" t="str" cm="1">
        <f t="array" ref="D821">IF(C821="","",C821/LOOKUP(2,1/($C$1:C820&lt;&gt;""),$C$1:C820)-1)</f>
        <v/>
      </c>
    </row>
    <row r="822" spans="1:4" x14ac:dyDescent="0.25">
      <c r="A822" s="1">
        <v>45352</v>
      </c>
      <c r="B822" s="2">
        <v>502.3</v>
      </c>
      <c r="C822">
        <f t="shared" si="12"/>
        <v>502.3</v>
      </c>
      <c r="D822" cm="1">
        <f t="array" ref="D822">IF(C822="","",C822/LOOKUP(2,1/($C$1:C821&lt;&gt;""),$C$1:C821)-1)</f>
        <v>3.7745594281346273E-2</v>
      </c>
    </row>
    <row r="823" spans="1:4" hidden="1" x14ac:dyDescent="0.25">
      <c r="A823" s="1">
        <v>45355</v>
      </c>
      <c r="B823" s="2">
        <v>498.19</v>
      </c>
      <c r="C823" t="str">
        <f t="shared" si="12"/>
        <v/>
      </c>
      <c r="D823" s="5" t="str" cm="1">
        <f t="array" ref="D823">IF(C823="","",C823/LOOKUP(2,1/($C$1:C822&lt;&gt;""),$C$1:C822)-1)</f>
        <v/>
      </c>
    </row>
    <row r="824" spans="1:4" hidden="1" x14ac:dyDescent="0.25">
      <c r="A824" s="1">
        <v>45356</v>
      </c>
      <c r="B824" s="2">
        <v>490.22</v>
      </c>
      <c r="C824" t="str">
        <f t="shared" si="12"/>
        <v/>
      </c>
      <c r="D824" s="5" t="str" cm="1">
        <f t="array" ref="D824">IF(C824="","",C824/LOOKUP(2,1/($C$1:C823&lt;&gt;""),$C$1:C823)-1)</f>
        <v/>
      </c>
    </row>
    <row r="825" spans="1:4" hidden="1" x14ac:dyDescent="0.25">
      <c r="A825" s="1">
        <v>45357</v>
      </c>
      <c r="B825" s="2">
        <v>496.09</v>
      </c>
      <c r="C825" t="str">
        <f t="shared" si="12"/>
        <v/>
      </c>
      <c r="D825" s="5" t="str" cm="1">
        <f t="array" ref="D825">IF(C825="","",C825/LOOKUP(2,1/($C$1:C824&lt;&gt;""),$C$1:C824)-1)</f>
        <v/>
      </c>
    </row>
    <row r="826" spans="1:4" hidden="1" x14ac:dyDescent="0.25">
      <c r="A826" s="1">
        <v>45358</v>
      </c>
      <c r="B826" s="2">
        <v>512.19000000000005</v>
      </c>
      <c r="C826" t="str">
        <f t="shared" si="12"/>
        <v/>
      </c>
      <c r="D826" s="5" t="str" cm="1">
        <f t="array" ref="D826">IF(C826="","",C826/LOOKUP(2,1/($C$1:C825&lt;&gt;""),$C$1:C825)-1)</f>
        <v/>
      </c>
    </row>
    <row r="827" spans="1:4" x14ac:dyDescent="0.25">
      <c r="A827" s="1">
        <v>45359</v>
      </c>
      <c r="B827" s="2">
        <v>505.95</v>
      </c>
      <c r="C827">
        <f t="shared" si="12"/>
        <v>505.95</v>
      </c>
      <c r="D827" cm="1">
        <f t="array" ref="D827">IF(C827="","",C827/LOOKUP(2,1/($C$1:C826&lt;&gt;""),$C$1:C826)-1)</f>
        <v>7.266573760700723E-3</v>
      </c>
    </row>
    <row r="828" spans="1:4" hidden="1" x14ac:dyDescent="0.25">
      <c r="A828" s="1">
        <v>45362</v>
      </c>
      <c r="B828" s="2">
        <v>483.59</v>
      </c>
      <c r="C828" t="str">
        <f t="shared" si="12"/>
        <v/>
      </c>
      <c r="D828" s="5" t="str" cm="1">
        <f t="array" ref="D828">IF(C828="","",C828/LOOKUP(2,1/($C$1:C827&lt;&gt;""),$C$1:C827)-1)</f>
        <v/>
      </c>
    </row>
    <row r="829" spans="1:4" hidden="1" x14ac:dyDescent="0.25">
      <c r="A829" s="1">
        <v>45363</v>
      </c>
      <c r="B829" s="2">
        <v>499.75</v>
      </c>
      <c r="C829" t="str">
        <f t="shared" si="12"/>
        <v/>
      </c>
      <c r="D829" s="5" t="str" cm="1">
        <f t="array" ref="D829">IF(C829="","",C829/LOOKUP(2,1/($C$1:C828&lt;&gt;""),$C$1:C828)-1)</f>
        <v/>
      </c>
    </row>
    <row r="830" spans="1:4" hidden="1" x14ac:dyDescent="0.25">
      <c r="A830" s="1">
        <v>45364</v>
      </c>
      <c r="B830" s="2">
        <v>495.57</v>
      </c>
      <c r="C830" t="str">
        <f t="shared" si="12"/>
        <v/>
      </c>
      <c r="D830" s="5" t="str" cm="1">
        <f t="array" ref="D830">IF(C830="","",C830/LOOKUP(2,1/($C$1:C829&lt;&gt;""),$C$1:C829)-1)</f>
        <v/>
      </c>
    </row>
    <row r="831" spans="1:4" hidden="1" x14ac:dyDescent="0.25">
      <c r="A831" s="1">
        <v>45365</v>
      </c>
      <c r="B831" s="2">
        <v>491.83</v>
      </c>
      <c r="C831" t="str">
        <f t="shared" si="12"/>
        <v/>
      </c>
      <c r="D831" s="5" t="str" cm="1">
        <f t="array" ref="D831">IF(C831="","",C831/LOOKUP(2,1/($C$1:C830&lt;&gt;""),$C$1:C830)-1)</f>
        <v/>
      </c>
    </row>
    <row r="832" spans="1:4" x14ac:dyDescent="0.25">
      <c r="A832" s="1">
        <v>45366</v>
      </c>
      <c r="B832" s="2">
        <v>484.1</v>
      </c>
      <c r="C832">
        <f t="shared" si="12"/>
        <v>484.1</v>
      </c>
      <c r="D832" cm="1">
        <f t="array" ref="D832">IF(C832="","",C832/LOOKUP(2,1/($C$1:C831&lt;&gt;""),$C$1:C831)-1)</f>
        <v>-4.3186085581579103E-2</v>
      </c>
    </row>
    <row r="833" spans="1:4" hidden="1" x14ac:dyDescent="0.25">
      <c r="A833" s="1">
        <v>45369</v>
      </c>
      <c r="B833" s="2">
        <v>496.98</v>
      </c>
      <c r="C833" t="str">
        <f t="shared" si="12"/>
        <v/>
      </c>
      <c r="D833" s="5" t="str" cm="1">
        <f t="array" ref="D833">IF(C833="","",C833/LOOKUP(2,1/($C$1:C832&lt;&gt;""),$C$1:C832)-1)</f>
        <v/>
      </c>
    </row>
    <row r="834" spans="1:4" hidden="1" x14ac:dyDescent="0.25">
      <c r="A834" s="1">
        <v>45370</v>
      </c>
      <c r="B834" s="2">
        <v>496.24</v>
      </c>
      <c r="C834" t="str">
        <f t="shared" si="12"/>
        <v/>
      </c>
      <c r="D834" s="5" t="str" cm="1">
        <f t="array" ref="D834">IF(C834="","",C834/LOOKUP(2,1/($C$1:C833&lt;&gt;""),$C$1:C833)-1)</f>
        <v/>
      </c>
    </row>
    <row r="835" spans="1:4" hidden="1" x14ac:dyDescent="0.25">
      <c r="A835" s="1">
        <v>45371</v>
      </c>
      <c r="B835" s="2">
        <v>505.52</v>
      </c>
      <c r="C835" t="str">
        <f t="shared" ref="C835:C898" si="13">IF(WEEKNUM(A835)&lt;&gt;WEEKNUM(A836),B835,"")</f>
        <v/>
      </c>
      <c r="D835" s="5" t="str" cm="1">
        <f t="array" ref="D835">IF(C835="","",C835/LOOKUP(2,1/($C$1:C834&lt;&gt;""),$C$1:C834)-1)</f>
        <v/>
      </c>
    </row>
    <row r="836" spans="1:4" hidden="1" x14ac:dyDescent="0.25">
      <c r="A836" s="1">
        <v>45372</v>
      </c>
      <c r="B836" s="2">
        <v>507.76</v>
      </c>
      <c r="C836" t="str">
        <f t="shared" si="13"/>
        <v/>
      </c>
      <c r="D836" s="5" t="str" cm="1">
        <f t="array" ref="D836">IF(C836="","",C836/LOOKUP(2,1/($C$1:C835&lt;&gt;""),$C$1:C835)-1)</f>
        <v/>
      </c>
    </row>
    <row r="837" spans="1:4" x14ac:dyDescent="0.25">
      <c r="A837" s="1">
        <v>45373</v>
      </c>
      <c r="B837" s="2">
        <v>509.58</v>
      </c>
      <c r="C837">
        <f t="shared" si="13"/>
        <v>509.58</v>
      </c>
      <c r="D837" cm="1">
        <f t="array" ref="D837">IF(C837="","",C837/LOOKUP(2,1/($C$1:C836&lt;&gt;""),$C$1:C836)-1)</f>
        <v>5.2633753356744473E-2</v>
      </c>
    </row>
    <row r="838" spans="1:4" hidden="1" x14ac:dyDescent="0.25">
      <c r="A838" s="1">
        <v>45376</v>
      </c>
      <c r="B838" s="2">
        <v>503.02</v>
      </c>
      <c r="C838" t="str">
        <f t="shared" si="13"/>
        <v/>
      </c>
      <c r="D838" s="5" t="str" cm="1">
        <f t="array" ref="D838">IF(C838="","",C838/LOOKUP(2,1/($C$1:C837&lt;&gt;""),$C$1:C837)-1)</f>
        <v/>
      </c>
    </row>
    <row r="839" spans="1:4" hidden="1" x14ac:dyDescent="0.25">
      <c r="A839" s="1">
        <v>45377</v>
      </c>
      <c r="B839" s="2">
        <v>495.89</v>
      </c>
      <c r="C839" t="str">
        <f t="shared" si="13"/>
        <v/>
      </c>
      <c r="D839" s="5" t="str" cm="1">
        <f t="array" ref="D839">IF(C839="","",C839/LOOKUP(2,1/($C$1:C838&lt;&gt;""),$C$1:C838)-1)</f>
        <v/>
      </c>
    </row>
    <row r="840" spans="1:4" hidden="1" x14ac:dyDescent="0.25">
      <c r="A840" s="1">
        <v>45378</v>
      </c>
      <c r="B840" s="2">
        <v>493.86</v>
      </c>
      <c r="C840" t="str">
        <f t="shared" si="13"/>
        <v/>
      </c>
      <c r="D840" s="5" t="str" cm="1">
        <f t="array" ref="D840">IF(C840="","",C840/LOOKUP(2,1/($C$1:C839&lt;&gt;""),$C$1:C839)-1)</f>
        <v/>
      </c>
    </row>
    <row r="841" spans="1:4" x14ac:dyDescent="0.25">
      <c r="A841" s="1">
        <v>45379</v>
      </c>
      <c r="B841" s="2">
        <v>485.58</v>
      </c>
      <c r="C841">
        <f t="shared" si="13"/>
        <v>485.58</v>
      </c>
      <c r="D841" cm="1">
        <f t="array" ref="D841">IF(C841="","",C841/LOOKUP(2,1/($C$1:C840&lt;&gt;""),$C$1:C840)-1)</f>
        <v>-4.7097609796302842E-2</v>
      </c>
    </row>
    <row r="842" spans="1:4" hidden="1" x14ac:dyDescent="0.25">
      <c r="A842" s="1">
        <v>45383</v>
      </c>
      <c r="B842" s="2">
        <v>491.35</v>
      </c>
      <c r="C842" t="str">
        <f t="shared" si="13"/>
        <v/>
      </c>
      <c r="D842" s="5" t="str" cm="1">
        <f t="array" ref="D842">IF(C842="","",C842/LOOKUP(2,1/($C$1:C841&lt;&gt;""),$C$1:C841)-1)</f>
        <v/>
      </c>
    </row>
    <row r="843" spans="1:4" hidden="1" x14ac:dyDescent="0.25">
      <c r="A843" s="1">
        <v>45384</v>
      </c>
      <c r="B843" s="2">
        <v>497.37</v>
      </c>
      <c r="C843" t="str">
        <f t="shared" si="13"/>
        <v/>
      </c>
      <c r="D843" s="5" t="str" cm="1">
        <f t="array" ref="D843">IF(C843="","",C843/LOOKUP(2,1/($C$1:C842&lt;&gt;""),$C$1:C842)-1)</f>
        <v/>
      </c>
    </row>
    <row r="844" spans="1:4" hidden="1" x14ac:dyDescent="0.25">
      <c r="A844" s="1">
        <v>45385</v>
      </c>
      <c r="B844" s="2">
        <v>506.74</v>
      </c>
      <c r="C844" t="str">
        <f t="shared" si="13"/>
        <v/>
      </c>
      <c r="D844" s="5" t="str" cm="1">
        <f t="array" ref="D844">IF(C844="","",C844/LOOKUP(2,1/($C$1:C843&lt;&gt;""),$C$1:C843)-1)</f>
        <v/>
      </c>
    </row>
    <row r="845" spans="1:4" hidden="1" x14ac:dyDescent="0.25">
      <c r="A845" s="1">
        <v>45386</v>
      </c>
      <c r="B845" s="2">
        <v>510.92</v>
      </c>
      <c r="C845" t="str">
        <f t="shared" si="13"/>
        <v/>
      </c>
      <c r="D845" s="5" t="str" cm="1">
        <f t="array" ref="D845">IF(C845="","",C845/LOOKUP(2,1/($C$1:C844&lt;&gt;""),$C$1:C844)-1)</f>
        <v/>
      </c>
    </row>
    <row r="846" spans="1:4" x14ac:dyDescent="0.25">
      <c r="A846" s="1">
        <v>45387</v>
      </c>
      <c r="B846" s="2">
        <v>527.34</v>
      </c>
      <c r="C846">
        <f t="shared" si="13"/>
        <v>527.34</v>
      </c>
      <c r="D846" cm="1">
        <f t="array" ref="D846">IF(C846="","",C846/LOOKUP(2,1/($C$1:C845&lt;&gt;""),$C$1:C845)-1)</f>
        <v>8.6000247127147045E-2</v>
      </c>
    </row>
    <row r="847" spans="1:4" hidden="1" x14ac:dyDescent="0.25">
      <c r="A847" s="1">
        <v>45390</v>
      </c>
      <c r="B847" s="2">
        <v>519.25</v>
      </c>
      <c r="C847" t="str">
        <f t="shared" si="13"/>
        <v/>
      </c>
      <c r="D847" s="5" t="str" cm="1">
        <f t="array" ref="D847">IF(C847="","",C847/LOOKUP(2,1/($C$1:C846&lt;&gt;""),$C$1:C846)-1)</f>
        <v/>
      </c>
    </row>
    <row r="848" spans="1:4" hidden="1" x14ac:dyDescent="0.25">
      <c r="A848" s="1">
        <v>45391</v>
      </c>
      <c r="B848" s="2">
        <v>516.9</v>
      </c>
      <c r="C848" t="str">
        <f t="shared" si="13"/>
        <v/>
      </c>
      <c r="D848" s="5" t="str" cm="1">
        <f t="array" ref="D848">IF(C848="","",C848/LOOKUP(2,1/($C$1:C847&lt;&gt;""),$C$1:C847)-1)</f>
        <v/>
      </c>
    </row>
    <row r="849" spans="1:4" hidden="1" x14ac:dyDescent="0.25">
      <c r="A849" s="1">
        <v>45392</v>
      </c>
      <c r="B849" s="2">
        <v>519.83000000000004</v>
      </c>
      <c r="C849" t="str">
        <f t="shared" si="13"/>
        <v/>
      </c>
      <c r="D849" s="5" t="str" cm="1">
        <f t="array" ref="D849">IF(C849="","",C849/LOOKUP(2,1/($C$1:C848&lt;&gt;""),$C$1:C848)-1)</f>
        <v/>
      </c>
    </row>
    <row r="850" spans="1:4" hidden="1" x14ac:dyDescent="0.25">
      <c r="A850" s="1">
        <v>45393</v>
      </c>
      <c r="B850" s="2">
        <v>523.16</v>
      </c>
      <c r="C850" t="str">
        <f t="shared" si="13"/>
        <v/>
      </c>
      <c r="D850" s="5" t="str" cm="1">
        <f t="array" ref="D850">IF(C850="","",C850/LOOKUP(2,1/($C$1:C849&lt;&gt;""),$C$1:C849)-1)</f>
        <v/>
      </c>
    </row>
    <row r="851" spans="1:4" x14ac:dyDescent="0.25">
      <c r="A851" s="1">
        <v>45394</v>
      </c>
      <c r="B851" s="2">
        <v>511.9</v>
      </c>
      <c r="C851">
        <f t="shared" si="13"/>
        <v>511.9</v>
      </c>
      <c r="D851" cm="1">
        <f t="array" ref="D851">IF(C851="","",C851/LOOKUP(2,1/($C$1:C850&lt;&gt;""),$C$1:C850)-1)</f>
        <v>-2.927902302120089E-2</v>
      </c>
    </row>
    <row r="852" spans="1:4" hidden="1" x14ac:dyDescent="0.25">
      <c r="A852" s="1">
        <v>45397</v>
      </c>
      <c r="B852" s="2">
        <v>500.23</v>
      </c>
      <c r="C852" t="str">
        <f t="shared" si="13"/>
        <v/>
      </c>
      <c r="D852" s="5" t="str" cm="1">
        <f t="array" ref="D852">IF(C852="","",C852/LOOKUP(2,1/($C$1:C851&lt;&gt;""),$C$1:C851)-1)</f>
        <v/>
      </c>
    </row>
    <row r="853" spans="1:4" hidden="1" x14ac:dyDescent="0.25">
      <c r="A853" s="1">
        <v>45398</v>
      </c>
      <c r="B853" s="2">
        <v>499.76</v>
      </c>
      <c r="C853" t="str">
        <f t="shared" si="13"/>
        <v/>
      </c>
      <c r="D853" s="5" t="str" cm="1">
        <f t="array" ref="D853">IF(C853="","",C853/LOOKUP(2,1/($C$1:C852&lt;&gt;""),$C$1:C852)-1)</f>
        <v/>
      </c>
    </row>
    <row r="854" spans="1:4" hidden="1" x14ac:dyDescent="0.25">
      <c r="A854" s="1">
        <v>45399</v>
      </c>
      <c r="B854" s="2">
        <v>494.17</v>
      </c>
      <c r="C854" t="str">
        <f t="shared" si="13"/>
        <v/>
      </c>
      <c r="D854" s="5" t="str" cm="1">
        <f t="array" ref="D854">IF(C854="","",C854/LOOKUP(2,1/($C$1:C853&lt;&gt;""),$C$1:C853)-1)</f>
        <v/>
      </c>
    </row>
    <row r="855" spans="1:4" hidden="1" x14ac:dyDescent="0.25">
      <c r="A855" s="1">
        <v>45400</v>
      </c>
      <c r="B855" s="2">
        <v>501.8</v>
      </c>
      <c r="C855" t="str">
        <f t="shared" si="13"/>
        <v/>
      </c>
      <c r="D855" s="5" t="str" cm="1">
        <f t="array" ref="D855">IF(C855="","",C855/LOOKUP(2,1/($C$1:C854&lt;&gt;""),$C$1:C854)-1)</f>
        <v/>
      </c>
    </row>
    <row r="856" spans="1:4" x14ac:dyDescent="0.25">
      <c r="A856" s="1">
        <v>45401</v>
      </c>
      <c r="B856" s="2">
        <v>481.07</v>
      </c>
      <c r="C856">
        <f t="shared" si="13"/>
        <v>481.07</v>
      </c>
      <c r="D856" cm="1">
        <f t="array" ref="D856">IF(C856="","",C856/LOOKUP(2,1/($C$1:C855&lt;&gt;""),$C$1:C855)-1)</f>
        <v>-6.0226606759132606E-2</v>
      </c>
    </row>
    <row r="857" spans="1:4" hidden="1" x14ac:dyDescent="0.25">
      <c r="A857" s="1">
        <v>45404</v>
      </c>
      <c r="B857" s="2">
        <v>481.73</v>
      </c>
      <c r="C857" t="str">
        <f t="shared" si="13"/>
        <v/>
      </c>
      <c r="D857" s="5" t="str" cm="1">
        <f t="array" ref="D857">IF(C857="","",C857/LOOKUP(2,1/($C$1:C856&lt;&gt;""),$C$1:C856)-1)</f>
        <v/>
      </c>
    </row>
    <row r="858" spans="1:4" hidden="1" x14ac:dyDescent="0.25">
      <c r="A858" s="1">
        <v>45405</v>
      </c>
      <c r="B858" s="2">
        <v>496.1</v>
      </c>
      <c r="C858" t="str">
        <f t="shared" si="13"/>
        <v/>
      </c>
      <c r="D858" s="5" t="str" cm="1">
        <f t="array" ref="D858">IF(C858="","",C858/LOOKUP(2,1/($C$1:C857&lt;&gt;""),$C$1:C857)-1)</f>
        <v/>
      </c>
    </row>
    <row r="859" spans="1:4" hidden="1" x14ac:dyDescent="0.25">
      <c r="A859" s="1">
        <v>45406</v>
      </c>
      <c r="B859" s="2">
        <v>493.5</v>
      </c>
      <c r="C859" t="str">
        <f t="shared" si="13"/>
        <v/>
      </c>
      <c r="D859" s="5" t="str" cm="1">
        <f t="array" ref="D859">IF(C859="","",C859/LOOKUP(2,1/($C$1:C858&lt;&gt;""),$C$1:C858)-1)</f>
        <v/>
      </c>
    </row>
    <row r="860" spans="1:4" hidden="1" x14ac:dyDescent="0.25">
      <c r="A860" s="1">
        <v>45407</v>
      </c>
      <c r="B860" s="2">
        <v>441.38</v>
      </c>
      <c r="C860" t="str">
        <f t="shared" si="13"/>
        <v/>
      </c>
      <c r="D860" s="5" t="str" cm="1">
        <f t="array" ref="D860">IF(C860="","",C860/LOOKUP(2,1/($C$1:C859&lt;&gt;""),$C$1:C859)-1)</f>
        <v/>
      </c>
    </row>
    <row r="861" spans="1:4" x14ac:dyDescent="0.25">
      <c r="A861" s="1">
        <v>45408</v>
      </c>
      <c r="B861" s="2">
        <v>443.29</v>
      </c>
      <c r="C861">
        <f t="shared" si="13"/>
        <v>443.29</v>
      </c>
      <c r="D861" cm="1">
        <f t="array" ref="D861">IF(C861="","",C861/LOOKUP(2,1/($C$1:C860&lt;&gt;""),$C$1:C860)-1)</f>
        <v>-7.8533269586546606E-2</v>
      </c>
    </row>
    <row r="862" spans="1:4" hidden="1" x14ac:dyDescent="0.25">
      <c r="A862" s="1">
        <v>45411</v>
      </c>
      <c r="B862" s="2">
        <v>432.62</v>
      </c>
      <c r="C862" t="str">
        <f t="shared" si="13"/>
        <v/>
      </c>
      <c r="D862" s="5" t="str" cm="1">
        <f t="array" ref="D862">IF(C862="","",C862/LOOKUP(2,1/($C$1:C861&lt;&gt;""),$C$1:C861)-1)</f>
        <v/>
      </c>
    </row>
    <row r="863" spans="1:4" hidden="1" x14ac:dyDescent="0.25">
      <c r="A863" s="1">
        <v>45412</v>
      </c>
      <c r="B863" s="2">
        <v>430.17</v>
      </c>
      <c r="C863" t="str">
        <f t="shared" si="13"/>
        <v/>
      </c>
      <c r="D863" s="5" t="str" cm="1">
        <f t="array" ref="D863">IF(C863="","",C863/LOOKUP(2,1/($C$1:C862&lt;&gt;""),$C$1:C862)-1)</f>
        <v/>
      </c>
    </row>
    <row r="864" spans="1:4" hidden="1" x14ac:dyDescent="0.25">
      <c r="A864" s="1">
        <v>45413</v>
      </c>
      <c r="B864" s="2">
        <v>439.19</v>
      </c>
      <c r="C864" t="str">
        <f t="shared" si="13"/>
        <v/>
      </c>
      <c r="D864" s="5" t="str" cm="1">
        <f t="array" ref="D864">IF(C864="","",C864/LOOKUP(2,1/($C$1:C863&lt;&gt;""),$C$1:C863)-1)</f>
        <v/>
      </c>
    </row>
    <row r="865" spans="1:4" hidden="1" x14ac:dyDescent="0.25">
      <c r="A865" s="1">
        <v>45414</v>
      </c>
      <c r="B865" s="2">
        <v>441.68</v>
      </c>
      <c r="C865" t="str">
        <f t="shared" si="13"/>
        <v/>
      </c>
      <c r="D865" s="5" t="str" cm="1">
        <f t="array" ref="D865">IF(C865="","",C865/LOOKUP(2,1/($C$1:C864&lt;&gt;""),$C$1:C864)-1)</f>
        <v/>
      </c>
    </row>
    <row r="866" spans="1:4" x14ac:dyDescent="0.25">
      <c r="A866" s="1">
        <v>45415</v>
      </c>
      <c r="B866" s="2">
        <v>451.96</v>
      </c>
      <c r="C866">
        <f t="shared" si="13"/>
        <v>451.96</v>
      </c>
      <c r="D866" cm="1">
        <f t="array" ref="D866">IF(C866="","",C866/LOOKUP(2,1/($C$1:C865&lt;&gt;""),$C$1:C865)-1)</f>
        <v>1.9558302691240481E-2</v>
      </c>
    </row>
    <row r="867" spans="1:4" hidden="1" x14ac:dyDescent="0.25">
      <c r="A867" s="1">
        <v>45418</v>
      </c>
      <c r="B867" s="2">
        <v>465.68</v>
      </c>
      <c r="C867" t="str">
        <f t="shared" si="13"/>
        <v/>
      </c>
      <c r="D867" s="5" t="str" cm="1">
        <f t="array" ref="D867">IF(C867="","",C867/LOOKUP(2,1/($C$1:C866&lt;&gt;""),$C$1:C866)-1)</f>
        <v/>
      </c>
    </row>
    <row r="868" spans="1:4" hidden="1" x14ac:dyDescent="0.25">
      <c r="A868" s="1">
        <v>45419</v>
      </c>
      <c r="B868" s="2">
        <v>468.24</v>
      </c>
      <c r="C868" t="str">
        <f t="shared" si="13"/>
        <v/>
      </c>
      <c r="D868" s="5" t="str" cm="1">
        <f t="array" ref="D868">IF(C868="","",C868/LOOKUP(2,1/($C$1:C867&lt;&gt;""),$C$1:C867)-1)</f>
        <v/>
      </c>
    </row>
    <row r="869" spans="1:4" hidden="1" x14ac:dyDescent="0.25">
      <c r="A869" s="1">
        <v>45420</v>
      </c>
      <c r="B869" s="2">
        <v>472.6</v>
      </c>
      <c r="C869" t="str">
        <f t="shared" si="13"/>
        <v/>
      </c>
      <c r="D869" s="5" t="str" cm="1">
        <f t="array" ref="D869">IF(C869="","",C869/LOOKUP(2,1/($C$1:C868&lt;&gt;""),$C$1:C868)-1)</f>
        <v/>
      </c>
    </row>
    <row r="870" spans="1:4" hidden="1" x14ac:dyDescent="0.25">
      <c r="A870" s="1">
        <v>45421</v>
      </c>
      <c r="B870" s="2">
        <v>475.42</v>
      </c>
      <c r="C870" t="str">
        <f t="shared" si="13"/>
        <v/>
      </c>
      <c r="D870" s="5" t="str" cm="1">
        <f t="array" ref="D870">IF(C870="","",C870/LOOKUP(2,1/($C$1:C869&lt;&gt;""),$C$1:C869)-1)</f>
        <v/>
      </c>
    </row>
    <row r="871" spans="1:4" x14ac:dyDescent="0.25">
      <c r="A871" s="1">
        <v>45422</v>
      </c>
      <c r="B871" s="2">
        <v>476.2</v>
      </c>
      <c r="C871">
        <f t="shared" si="13"/>
        <v>476.2</v>
      </c>
      <c r="D871" cm="1">
        <f t="array" ref="D871">IF(C871="","",C871/LOOKUP(2,1/($C$1:C870&lt;&gt;""),$C$1:C870)-1)</f>
        <v>5.3633064872997682E-2</v>
      </c>
    </row>
    <row r="872" spans="1:4" hidden="1" x14ac:dyDescent="0.25">
      <c r="A872" s="1">
        <v>45425</v>
      </c>
      <c r="B872" s="2">
        <v>468.01</v>
      </c>
      <c r="C872" t="str">
        <f t="shared" si="13"/>
        <v/>
      </c>
      <c r="D872" s="5" t="str" cm="1">
        <f t="array" ref="D872">IF(C872="","",C872/LOOKUP(2,1/($C$1:C871&lt;&gt;""),$C$1:C871)-1)</f>
        <v/>
      </c>
    </row>
    <row r="873" spans="1:4" hidden="1" x14ac:dyDescent="0.25">
      <c r="A873" s="1">
        <v>45426</v>
      </c>
      <c r="B873" s="2">
        <v>471.85</v>
      </c>
      <c r="C873" t="str">
        <f t="shared" si="13"/>
        <v/>
      </c>
      <c r="D873" s="5" t="str" cm="1">
        <f t="array" ref="D873">IF(C873="","",C873/LOOKUP(2,1/($C$1:C872&lt;&gt;""),$C$1:C872)-1)</f>
        <v/>
      </c>
    </row>
    <row r="874" spans="1:4" hidden="1" x14ac:dyDescent="0.25">
      <c r="A874" s="1">
        <v>45427</v>
      </c>
      <c r="B874" s="2">
        <v>481.54</v>
      </c>
      <c r="C874" t="str">
        <f t="shared" si="13"/>
        <v/>
      </c>
      <c r="D874" s="5" t="str" cm="1">
        <f t="array" ref="D874">IF(C874="","",C874/LOOKUP(2,1/($C$1:C873&lt;&gt;""),$C$1:C873)-1)</f>
        <v/>
      </c>
    </row>
    <row r="875" spans="1:4" hidden="1" x14ac:dyDescent="0.25">
      <c r="A875" s="1">
        <v>45428</v>
      </c>
      <c r="B875" s="2">
        <v>473.23</v>
      </c>
      <c r="C875" t="str">
        <f t="shared" si="13"/>
        <v/>
      </c>
      <c r="D875" s="5" t="str" cm="1">
        <f t="array" ref="D875">IF(C875="","",C875/LOOKUP(2,1/($C$1:C874&lt;&gt;""),$C$1:C874)-1)</f>
        <v/>
      </c>
    </row>
    <row r="876" spans="1:4" x14ac:dyDescent="0.25">
      <c r="A876" s="1">
        <v>45429</v>
      </c>
      <c r="B876" s="2">
        <v>471.91</v>
      </c>
      <c r="C876">
        <f t="shared" si="13"/>
        <v>471.91</v>
      </c>
      <c r="D876" cm="1">
        <f t="array" ref="D876">IF(C876="","",C876/LOOKUP(2,1/($C$1:C875&lt;&gt;""),$C$1:C875)-1)</f>
        <v>-9.0088198236034644E-3</v>
      </c>
    </row>
    <row r="877" spans="1:4" hidden="1" x14ac:dyDescent="0.25">
      <c r="A877" s="1">
        <v>45432</v>
      </c>
      <c r="B877" s="2">
        <v>468.84</v>
      </c>
      <c r="C877" t="str">
        <f t="shared" si="13"/>
        <v/>
      </c>
      <c r="D877" s="5" t="str" cm="1">
        <f t="array" ref="D877">IF(C877="","",C877/LOOKUP(2,1/($C$1:C876&lt;&gt;""),$C$1:C876)-1)</f>
        <v/>
      </c>
    </row>
    <row r="878" spans="1:4" hidden="1" x14ac:dyDescent="0.25">
      <c r="A878" s="1">
        <v>45433</v>
      </c>
      <c r="B878" s="2">
        <v>464.63</v>
      </c>
      <c r="C878" t="str">
        <f t="shared" si="13"/>
        <v/>
      </c>
      <c r="D878" s="5" t="str" cm="1">
        <f t="array" ref="D878">IF(C878="","",C878/LOOKUP(2,1/($C$1:C877&lt;&gt;""),$C$1:C877)-1)</f>
        <v/>
      </c>
    </row>
    <row r="879" spans="1:4" hidden="1" x14ac:dyDescent="0.25">
      <c r="A879" s="1">
        <v>45434</v>
      </c>
      <c r="B879" s="2">
        <v>467.78</v>
      </c>
      <c r="C879" t="str">
        <f t="shared" si="13"/>
        <v/>
      </c>
      <c r="D879" s="5" t="str" cm="1">
        <f t="array" ref="D879">IF(C879="","",C879/LOOKUP(2,1/($C$1:C878&lt;&gt;""),$C$1:C878)-1)</f>
        <v/>
      </c>
    </row>
    <row r="880" spans="1:4" hidden="1" x14ac:dyDescent="0.25">
      <c r="A880" s="1">
        <v>45435</v>
      </c>
      <c r="B880" s="2">
        <v>465.78</v>
      </c>
      <c r="C880" t="str">
        <f t="shared" si="13"/>
        <v/>
      </c>
      <c r="D880" s="5" t="str" cm="1">
        <f t="array" ref="D880">IF(C880="","",C880/LOOKUP(2,1/($C$1:C879&lt;&gt;""),$C$1:C879)-1)</f>
        <v/>
      </c>
    </row>
    <row r="881" spans="1:4" x14ac:dyDescent="0.25">
      <c r="A881" s="1">
        <v>45436</v>
      </c>
      <c r="B881" s="2">
        <v>478.22</v>
      </c>
      <c r="C881">
        <f t="shared" si="13"/>
        <v>478.22</v>
      </c>
      <c r="D881" cm="1">
        <f t="array" ref="D881">IF(C881="","",C881/LOOKUP(2,1/($C$1:C880&lt;&gt;""),$C$1:C880)-1)</f>
        <v>1.3371193659807989E-2</v>
      </c>
    </row>
    <row r="882" spans="1:4" hidden="1" x14ac:dyDescent="0.25">
      <c r="A882" s="1">
        <v>45440</v>
      </c>
      <c r="B882" s="2">
        <v>479.92</v>
      </c>
      <c r="C882" t="str">
        <f t="shared" si="13"/>
        <v/>
      </c>
      <c r="D882" s="5" t="str" cm="1">
        <f t="array" ref="D882">IF(C882="","",C882/LOOKUP(2,1/($C$1:C881&lt;&gt;""),$C$1:C881)-1)</f>
        <v/>
      </c>
    </row>
    <row r="883" spans="1:4" hidden="1" x14ac:dyDescent="0.25">
      <c r="A883" s="1">
        <v>45441</v>
      </c>
      <c r="B883" s="2">
        <v>474.36</v>
      </c>
      <c r="C883" t="str">
        <f t="shared" si="13"/>
        <v/>
      </c>
      <c r="D883" s="5" t="str" cm="1">
        <f t="array" ref="D883">IF(C883="","",C883/LOOKUP(2,1/($C$1:C882&lt;&gt;""),$C$1:C882)-1)</f>
        <v/>
      </c>
    </row>
    <row r="884" spans="1:4" hidden="1" x14ac:dyDescent="0.25">
      <c r="A884" s="1">
        <v>45442</v>
      </c>
      <c r="B884" s="2">
        <v>467.05</v>
      </c>
      <c r="C884" t="str">
        <f t="shared" si="13"/>
        <v/>
      </c>
      <c r="D884" s="5" t="str" cm="1">
        <f t="array" ref="D884">IF(C884="","",C884/LOOKUP(2,1/($C$1:C883&lt;&gt;""),$C$1:C883)-1)</f>
        <v/>
      </c>
    </row>
    <row r="885" spans="1:4" x14ac:dyDescent="0.25">
      <c r="A885" s="1">
        <v>45443</v>
      </c>
      <c r="B885" s="2">
        <v>466.83</v>
      </c>
      <c r="C885">
        <f t="shared" si="13"/>
        <v>466.83</v>
      </c>
      <c r="D885" cm="1">
        <f t="array" ref="D885">IF(C885="","",C885/LOOKUP(2,1/($C$1:C884&lt;&gt;""),$C$1:C884)-1)</f>
        <v>-2.3817489858224294E-2</v>
      </c>
    </row>
    <row r="886" spans="1:4" hidden="1" x14ac:dyDescent="0.25">
      <c r="A886" s="1">
        <v>45446</v>
      </c>
      <c r="B886" s="2">
        <v>477.49</v>
      </c>
      <c r="C886" t="str">
        <f t="shared" si="13"/>
        <v/>
      </c>
      <c r="D886" s="5" t="str" cm="1">
        <f t="array" ref="D886">IF(C886="","",C886/LOOKUP(2,1/($C$1:C885&lt;&gt;""),$C$1:C885)-1)</f>
        <v/>
      </c>
    </row>
    <row r="887" spans="1:4" hidden="1" x14ac:dyDescent="0.25">
      <c r="A887" s="1">
        <v>45447</v>
      </c>
      <c r="B887" s="2">
        <v>476.99</v>
      </c>
      <c r="C887" t="str">
        <f t="shared" si="13"/>
        <v/>
      </c>
      <c r="D887" s="5" t="str" cm="1">
        <f t="array" ref="D887">IF(C887="","",C887/LOOKUP(2,1/($C$1:C886&lt;&gt;""),$C$1:C886)-1)</f>
        <v/>
      </c>
    </row>
    <row r="888" spans="1:4" hidden="1" x14ac:dyDescent="0.25">
      <c r="A888" s="1">
        <v>45448</v>
      </c>
      <c r="B888" s="2">
        <v>495.06</v>
      </c>
      <c r="C888" t="str">
        <f t="shared" si="13"/>
        <v/>
      </c>
      <c r="D888" s="5" t="str" cm="1">
        <f t="array" ref="D888">IF(C888="","",C888/LOOKUP(2,1/($C$1:C887&lt;&gt;""),$C$1:C887)-1)</f>
        <v/>
      </c>
    </row>
    <row r="889" spans="1:4" hidden="1" x14ac:dyDescent="0.25">
      <c r="A889" s="1">
        <v>45449</v>
      </c>
      <c r="B889" s="2">
        <v>493.76</v>
      </c>
      <c r="C889" t="str">
        <f t="shared" si="13"/>
        <v/>
      </c>
      <c r="D889" s="5" t="str" cm="1">
        <f t="array" ref="D889">IF(C889="","",C889/LOOKUP(2,1/($C$1:C888&lt;&gt;""),$C$1:C888)-1)</f>
        <v/>
      </c>
    </row>
    <row r="890" spans="1:4" x14ac:dyDescent="0.25">
      <c r="A890" s="1">
        <v>45450</v>
      </c>
      <c r="B890" s="2">
        <v>492.96</v>
      </c>
      <c r="C890">
        <f t="shared" si="13"/>
        <v>492.96</v>
      </c>
      <c r="D890" cm="1">
        <f t="array" ref="D890">IF(C890="","",C890/LOOKUP(2,1/($C$1:C889&lt;&gt;""),$C$1:C889)-1)</f>
        <v>5.597326649958223E-2</v>
      </c>
    </row>
    <row r="891" spans="1:4" hidden="1" x14ac:dyDescent="0.25">
      <c r="A891" s="1">
        <v>45453</v>
      </c>
      <c r="B891" s="2">
        <v>502.6</v>
      </c>
      <c r="C891" t="str">
        <f t="shared" si="13"/>
        <v/>
      </c>
      <c r="D891" s="5" t="str" cm="1">
        <f t="array" ref="D891">IF(C891="","",C891/LOOKUP(2,1/($C$1:C890&lt;&gt;""),$C$1:C890)-1)</f>
        <v/>
      </c>
    </row>
    <row r="892" spans="1:4" hidden="1" x14ac:dyDescent="0.25">
      <c r="A892" s="1">
        <v>45454</v>
      </c>
      <c r="B892" s="2">
        <v>507.47</v>
      </c>
      <c r="C892" t="str">
        <f t="shared" si="13"/>
        <v/>
      </c>
      <c r="D892" s="5" t="str" cm="1">
        <f t="array" ref="D892">IF(C892="","",C892/LOOKUP(2,1/($C$1:C891&lt;&gt;""),$C$1:C891)-1)</f>
        <v/>
      </c>
    </row>
    <row r="893" spans="1:4" hidden="1" x14ac:dyDescent="0.25">
      <c r="A893" s="1">
        <v>45455</v>
      </c>
      <c r="B893" s="2">
        <v>508.84</v>
      </c>
      <c r="C893" t="str">
        <f t="shared" si="13"/>
        <v/>
      </c>
      <c r="D893" s="5" t="str" cm="1">
        <f t="array" ref="D893">IF(C893="","",C893/LOOKUP(2,1/($C$1:C892&lt;&gt;""),$C$1:C892)-1)</f>
        <v/>
      </c>
    </row>
    <row r="894" spans="1:4" hidden="1" x14ac:dyDescent="0.25">
      <c r="A894" s="1">
        <v>45456</v>
      </c>
      <c r="B894" s="2">
        <v>504.1</v>
      </c>
      <c r="C894" t="str">
        <f t="shared" si="13"/>
        <v/>
      </c>
      <c r="D894" s="5" t="str" cm="1">
        <f t="array" ref="D894">IF(C894="","",C894/LOOKUP(2,1/($C$1:C893&lt;&gt;""),$C$1:C893)-1)</f>
        <v/>
      </c>
    </row>
    <row r="895" spans="1:4" x14ac:dyDescent="0.25">
      <c r="A895" s="1">
        <v>45457</v>
      </c>
      <c r="B895" s="2">
        <v>504.16</v>
      </c>
      <c r="C895">
        <f t="shared" si="13"/>
        <v>504.16</v>
      </c>
      <c r="D895" cm="1">
        <f t="array" ref="D895">IF(C895="","",C895/LOOKUP(2,1/($C$1:C894&lt;&gt;""),$C$1:C894)-1)</f>
        <v>2.2719896137617823E-2</v>
      </c>
    </row>
    <row r="896" spans="1:4" hidden="1" x14ac:dyDescent="0.25">
      <c r="A896" s="1">
        <v>45460</v>
      </c>
      <c r="B896" s="2">
        <v>506.63</v>
      </c>
      <c r="C896" t="str">
        <f t="shared" si="13"/>
        <v/>
      </c>
      <c r="D896" s="5" t="str" cm="1">
        <f t="array" ref="D896">IF(C896="","",C896/LOOKUP(2,1/($C$1:C895&lt;&gt;""),$C$1:C895)-1)</f>
        <v/>
      </c>
    </row>
    <row r="897" spans="1:4" hidden="1" x14ac:dyDescent="0.25">
      <c r="A897" s="1">
        <v>45461</v>
      </c>
      <c r="B897" s="2">
        <v>499.49</v>
      </c>
      <c r="C897" t="str">
        <f t="shared" si="13"/>
        <v/>
      </c>
      <c r="D897" s="5" t="str" cm="1">
        <f t="array" ref="D897">IF(C897="","",C897/LOOKUP(2,1/($C$1:C896&lt;&gt;""),$C$1:C896)-1)</f>
        <v/>
      </c>
    </row>
    <row r="898" spans="1:4" hidden="1" x14ac:dyDescent="0.25">
      <c r="A898" s="1">
        <v>45463</v>
      </c>
      <c r="B898" s="2">
        <v>501.7</v>
      </c>
      <c r="C898" t="str">
        <f t="shared" si="13"/>
        <v/>
      </c>
      <c r="D898" s="5" t="str" cm="1">
        <f t="array" ref="D898">IF(C898="","",C898/LOOKUP(2,1/($C$1:C897&lt;&gt;""),$C$1:C897)-1)</f>
        <v/>
      </c>
    </row>
    <row r="899" spans="1:4" x14ac:dyDescent="0.25">
      <c r="A899" s="1">
        <v>45464</v>
      </c>
      <c r="B899" s="2">
        <v>494.78</v>
      </c>
      <c r="C899">
        <f t="shared" ref="C899:C962" si="14">IF(WEEKNUM(A899)&lt;&gt;WEEKNUM(A900),B899,"")</f>
        <v>494.78</v>
      </c>
      <c r="D899" cm="1">
        <f t="array" ref="D899">IF(C899="","",C899/LOOKUP(2,1/($C$1:C898&lt;&gt;""),$C$1:C898)-1)</f>
        <v>-1.8605204696921729E-2</v>
      </c>
    </row>
    <row r="900" spans="1:4" hidden="1" x14ac:dyDescent="0.25">
      <c r="A900" s="1">
        <v>45467</v>
      </c>
      <c r="B900" s="2">
        <v>498.91</v>
      </c>
      <c r="C900" t="str">
        <f t="shared" si="14"/>
        <v/>
      </c>
      <c r="D900" s="5" t="str" cm="1">
        <f t="array" ref="D900">IF(C900="","",C900/LOOKUP(2,1/($C$1:C899&lt;&gt;""),$C$1:C899)-1)</f>
        <v/>
      </c>
    </row>
    <row r="901" spans="1:4" hidden="1" x14ac:dyDescent="0.25">
      <c r="A901" s="1">
        <v>45468</v>
      </c>
      <c r="B901" s="2">
        <v>510.6</v>
      </c>
      <c r="C901" t="str">
        <f t="shared" si="14"/>
        <v/>
      </c>
      <c r="D901" s="5" t="str" cm="1">
        <f t="array" ref="D901">IF(C901="","",C901/LOOKUP(2,1/($C$1:C900&lt;&gt;""),$C$1:C900)-1)</f>
        <v/>
      </c>
    </row>
    <row r="902" spans="1:4" hidden="1" x14ac:dyDescent="0.25">
      <c r="A902" s="1">
        <v>45469</v>
      </c>
      <c r="B902" s="2">
        <v>513.12</v>
      </c>
      <c r="C902" t="str">
        <f t="shared" si="14"/>
        <v/>
      </c>
      <c r="D902" s="5" t="str" cm="1">
        <f t="array" ref="D902">IF(C902="","",C902/LOOKUP(2,1/($C$1:C901&lt;&gt;""),$C$1:C901)-1)</f>
        <v/>
      </c>
    </row>
    <row r="903" spans="1:4" hidden="1" x14ac:dyDescent="0.25">
      <c r="A903" s="1">
        <v>45470</v>
      </c>
      <c r="B903" s="2">
        <v>519.55999999999995</v>
      </c>
      <c r="C903" t="str">
        <f t="shared" si="14"/>
        <v/>
      </c>
      <c r="D903" s="5" t="str" cm="1">
        <f t="array" ref="D903">IF(C903="","",C903/LOOKUP(2,1/($C$1:C902&lt;&gt;""),$C$1:C902)-1)</f>
        <v/>
      </c>
    </row>
    <row r="904" spans="1:4" x14ac:dyDescent="0.25">
      <c r="A904" s="1">
        <v>45471</v>
      </c>
      <c r="B904" s="2">
        <v>504.22</v>
      </c>
      <c r="C904">
        <f t="shared" si="14"/>
        <v>504.22</v>
      </c>
      <c r="D904" cm="1">
        <f t="array" ref="D904">IF(C904="","",C904/LOOKUP(2,1/($C$1:C903&lt;&gt;""),$C$1:C903)-1)</f>
        <v>1.9079186709244578E-2</v>
      </c>
    </row>
    <row r="905" spans="1:4" hidden="1" x14ac:dyDescent="0.25">
      <c r="A905" s="1">
        <v>45474</v>
      </c>
      <c r="B905" s="2">
        <v>504.68</v>
      </c>
      <c r="C905" t="str">
        <f t="shared" si="14"/>
        <v/>
      </c>
      <c r="D905" s="5" t="str" cm="1">
        <f t="array" ref="D905">IF(C905="","",C905/LOOKUP(2,1/($C$1:C904&lt;&gt;""),$C$1:C904)-1)</f>
        <v/>
      </c>
    </row>
    <row r="906" spans="1:4" hidden="1" x14ac:dyDescent="0.25">
      <c r="A906" s="1">
        <v>45475</v>
      </c>
      <c r="B906" s="2">
        <v>509.5</v>
      </c>
      <c r="C906" t="str">
        <f t="shared" si="14"/>
        <v/>
      </c>
      <c r="D906" s="5" t="str" cm="1">
        <f t="array" ref="D906">IF(C906="","",C906/LOOKUP(2,1/($C$1:C905&lt;&gt;""),$C$1:C905)-1)</f>
        <v/>
      </c>
    </row>
    <row r="907" spans="1:4" hidden="1" x14ac:dyDescent="0.25">
      <c r="A907" s="1">
        <v>45476</v>
      </c>
      <c r="B907" s="2">
        <v>509.96</v>
      </c>
      <c r="C907" t="str">
        <f t="shared" si="14"/>
        <v/>
      </c>
      <c r="D907" s="5" t="str" cm="1">
        <f t="array" ref="D907">IF(C907="","",C907/LOOKUP(2,1/($C$1:C906&lt;&gt;""),$C$1:C906)-1)</f>
        <v/>
      </c>
    </row>
    <row r="908" spans="1:4" x14ac:dyDescent="0.25">
      <c r="A908" s="1">
        <v>45478</v>
      </c>
      <c r="B908" s="2">
        <v>539.91</v>
      </c>
      <c r="C908">
        <f t="shared" si="14"/>
        <v>539.91</v>
      </c>
      <c r="D908" cm="1">
        <f t="array" ref="D908">IF(C908="","",C908/LOOKUP(2,1/($C$1:C907&lt;&gt;""),$C$1:C907)-1)</f>
        <v>7.078259489905192E-2</v>
      </c>
    </row>
    <row r="909" spans="1:4" hidden="1" x14ac:dyDescent="0.25">
      <c r="A909" s="1">
        <v>45481</v>
      </c>
      <c r="B909" s="2">
        <v>529.32000000000005</v>
      </c>
      <c r="C909" t="str">
        <f t="shared" si="14"/>
        <v/>
      </c>
      <c r="D909" s="5" t="str" cm="1">
        <f t="array" ref="D909">IF(C909="","",C909/LOOKUP(2,1/($C$1:C908&lt;&gt;""),$C$1:C908)-1)</f>
        <v/>
      </c>
    </row>
    <row r="910" spans="1:4" hidden="1" x14ac:dyDescent="0.25">
      <c r="A910" s="1">
        <v>45482</v>
      </c>
      <c r="B910" s="2">
        <v>530</v>
      </c>
      <c r="C910" t="str">
        <f t="shared" si="14"/>
        <v/>
      </c>
      <c r="D910" s="5" t="str" cm="1">
        <f t="array" ref="D910">IF(C910="","",C910/LOOKUP(2,1/($C$1:C909&lt;&gt;""),$C$1:C909)-1)</f>
        <v/>
      </c>
    </row>
    <row r="911" spans="1:4" hidden="1" x14ac:dyDescent="0.25">
      <c r="A911" s="1">
        <v>45483</v>
      </c>
      <c r="B911" s="2">
        <v>534.69000000000005</v>
      </c>
      <c r="C911" t="str">
        <f t="shared" si="14"/>
        <v/>
      </c>
      <c r="D911" s="5" t="str" cm="1">
        <f t="array" ref="D911">IF(C911="","",C911/LOOKUP(2,1/($C$1:C910&lt;&gt;""),$C$1:C910)-1)</f>
        <v/>
      </c>
    </row>
    <row r="912" spans="1:4" hidden="1" x14ac:dyDescent="0.25">
      <c r="A912" s="1">
        <v>45484</v>
      </c>
      <c r="B912" s="2">
        <v>512.70000000000005</v>
      </c>
      <c r="C912" t="str">
        <f t="shared" si="14"/>
        <v/>
      </c>
      <c r="D912" s="5" t="str" cm="1">
        <f t="array" ref="D912">IF(C912="","",C912/LOOKUP(2,1/($C$1:C911&lt;&gt;""),$C$1:C911)-1)</f>
        <v/>
      </c>
    </row>
    <row r="913" spans="1:4" x14ac:dyDescent="0.25">
      <c r="A913" s="1">
        <v>45485</v>
      </c>
      <c r="B913" s="2">
        <v>498.87</v>
      </c>
      <c r="C913">
        <f t="shared" si="14"/>
        <v>498.87</v>
      </c>
      <c r="D913" cm="1">
        <f t="array" ref="D913">IF(C913="","",C913/LOOKUP(2,1/($C$1:C912&lt;&gt;""),$C$1:C912)-1)</f>
        <v>-7.6012668778129622E-2</v>
      </c>
    </row>
    <row r="914" spans="1:4" hidden="1" x14ac:dyDescent="0.25">
      <c r="A914" s="1">
        <v>45488</v>
      </c>
      <c r="B914" s="2">
        <v>496.16</v>
      </c>
      <c r="C914" t="str">
        <f t="shared" si="14"/>
        <v/>
      </c>
      <c r="D914" s="5" t="str" cm="1">
        <f t="array" ref="D914">IF(C914="","",C914/LOOKUP(2,1/($C$1:C913&lt;&gt;""),$C$1:C913)-1)</f>
        <v/>
      </c>
    </row>
    <row r="915" spans="1:4" hidden="1" x14ac:dyDescent="0.25">
      <c r="A915" s="1">
        <v>45489</v>
      </c>
      <c r="B915" s="2">
        <v>489.79</v>
      </c>
      <c r="C915" t="str">
        <f t="shared" si="14"/>
        <v/>
      </c>
      <c r="D915" s="5" t="str" cm="1">
        <f t="array" ref="D915">IF(C915="","",C915/LOOKUP(2,1/($C$1:C914&lt;&gt;""),$C$1:C914)-1)</f>
        <v/>
      </c>
    </row>
    <row r="916" spans="1:4" hidden="1" x14ac:dyDescent="0.25">
      <c r="A916" s="1">
        <v>45490</v>
      </c>
      <c r="B916" s="2">
        <v>461.99</v>
      </c>
      <c r="C916" t="str">
        <f t="shared" si="14"/>
        <v/>
      </c>
      <c r="D916" s="5" t="str" cm="1">
        <f t="array" ref="D916">IF(C916="","",C916/LOOKUP(2,1/($C$1:C915&lt;&gt;""),$C$1:C915)-1)</f>
        <v/>
      </c>
    </row>
    <row r="917" spans="1:4" hidden="1" x14ac:dyDescent="0.25">
      <c r="A917" s="1">
        <v>45491</v>
      </c>
      <c r="B917" s="2">
        <v>475.85</v>
      </c>
      <c r="C917" t="str">
        <f t="shared" si="14"/>
        <v/>
      </c>
      <c r="D917" s="5" t="str" cm="1">
        <f t="array" ref="D917">IF(C917="","",C917/LOOKUP(2,1/($C$1:C916&lt;&gt;""),$C$1:C916)-1)</f>
        <v/>
      </c>
    </row>
    <row r="918" spans="1:4" x14ac:dyDescent="0.25">
      <c r="A918" s="1">
        <v>45492</v>
      </c>
      <c r="B918" s="2">
        <v>476.79</v>
      </c>
      <c r="C918">
        <f t="shared" si="14"/>
        <v>476.79</v>
      </c>
      <c r="D918" cm="1">
        <f t="array" ref="D918">IF(C918="","",C918/LOOKUP(2,1/($C$1:C917&lt;&gt;""),$C$1:C917)-1)</f>
        <v>-4.4260027662517243E-2</v>
      </c>
    </row>
    <row r="919" spans="1:4" hidden="1" x14ac:dyDescent="0.25">
      <c r="A919" s="1">
        <v>45495</v>
      </c>
      <c r="B919" s="2">
        <v>487.4</v>
      </c>
      <c r="C919" t="str">
        <f t="shared" si="14"/>
        <v/>
      </c>
      <c r="D919" s="5" t="str" cm="1">
        <f t="array" ref="D919">IF(C919="","",C919/LOOKUP(2,1/($C$1:C918&lt;&gt;""),$C$1:C918)-1)</f>
        <v/>
      </c>
    </row>
    <row r="920" spans="1:4" hidden="1" x14ac:dyDescent="0.25">
      <c r="A920" s="1">
        <v>45496</v>
      </c>
      <c r="B920" s="2">
        <v>488.69</v>
      </c>
      <c r="C920" t="str">
        <f t="shared" si="14"/>
        <v/>
      </c>
      <c r="D920" s="5" t="str" cm="1">
        <f t="array" ref="D920">IF(C920="","",C920/LOOKUP(2,1/($C$1:C919&lt;&gt;""),$C$1:C919)-1)</f>
        <v/>
      </c>
    </row>
    <row r="921" spans="1:4" hidden="1" x14ac:dyDescent="0.25">
      <c r="A921" s="1">
        <v>45497</v>
      </c>
      <c r="B921" s="2">
        <v>461.27</v>
      </c>
      <c r="C921" t="str">
        <f t="shared" si="14"/>
        <v/>
      </c>
      <c r="D921" s="5" t="str" cm="1">
        <f t="array" ref="D921">IF(C921="","",C921/LOOKUP(2,1/($C$1:C920&lt;&gt;""),$C$1:C920)-1)</f>
        <v/>
      </c>
    </row>
    <row r="922" spans="1:4" hidden="1" x14ac:dyDescent="0.25">
      <c r="A922" s="1">
        <v>45498</v>
      </c>
      <c r="B922" s="2">
        <v>453.41</v>
      </c>
      <c r="C922" t="str">
        <f t="shared" si="14"/>
        <v/>
      </c>
      <c r="D922" s="5" t="str" cm="1">
        <f t="array" ref="D922">IF(C922="","",C922/LOOKUP(2,1/($C$1:C921&lt;&gt;""),$C$1:C921)-1)</f>
        <v/>
      </c>
    </row>
    <row r="923" spans="1:4" x14ac:dyDescent="0.25">
      <c r="A923" s="1">
        <v>45499</v>
      </c>
      <c r="B923" s="2">
        <v>465.7</v>
      </c>
      <c r="C923">
        <f t="shared" si="14"/>
        <v>465.7</v>
      </c>
      <c r="D923" cm="1">
        <f t="array" ref="D923">IF(C923="","",C923/LOOKUP(2,1/($C$1:C922&lt;&gt;""),$C$1:C922)-1)</f>
        <v>-2.325971601753396E-2</v>
      </c>
    </row>
    <row r="924" spans="1:4" hidden="1" x14ac:dyDescent="0.25">
      <c r="A924" s="1">
        <v>45502</v>
      </c>
      <c r="B924" s="2">
        <v>465.71</v>
      </c>
      <c r="C924" t="str">
        <f t="shared" si="14"/>
        <v/>
      </c>
      <c r="D924" s="5" t="str" cm="1">
        <f t="array" ref="D924">IF(C924="","",C924/LOOKUP(2,1/($C$1:C923&lt;&gt;""),$C$1:C923)-1)</f>
        <v/>
      </c>
    </row>
    <row r="925" spans="1:4" hidden="1" x14ac:dyDescent="0.25">
      <c r="A925" s="1">
        <v>45503</v>
      </c>
      <c r="B925" s="2">
        <v>463.19</v>
      </c>
      <c r="C925" t="str">
        <f t="shared" si="14"/>
        <v/>
      </c>
      <c r="D925" s="5" t="str" cm="1">
        <f t="array" ref="D925">IF(C925="","",C925/LOOKUP(2,1/($C$1:C924&lt;&gt;""),$C$1:C924)-1)</f>
        <v/>
      </c>
    </row>
    <row r="926" spans="1:4" hidden="1" x14ac:dyDescent="0.25">
      <c r="A926" s="1">
        <v>45504</v>
      </c>
      <c r="B926" s="2">
        <v>474.83</v>
      </c>
      <c r="C926" t="str">
        <f t="shared" si="14"/>
        <v/>
      </c>
      <c r="D926" s="5" t="str" cm="1">
        <f t="array" ref="D926">IF(C926="","",C926/LOOKUP(2,1/($C$1:C925&lt;&gt;""),$C$1:C925)-1)</f>
        <v/>
      </c>
    </row>
    <row r="927" spans="1:4" hidden="1" x14ac:dyDescent="0.25">
      <c r="A927" s="1">
        <v>45505</v>
      </c>
      <c r="B927" s="2">
        <v>497.74</v>
      </c>
      <c r="C927" t="str">
        <f t="shared" si="14"/>
        <v/>
      </c>
      <c r="D927" s="5" t="str" cm="1">
        <f t="array" ref="D927">IF(C927="","",C927/LOOKUP(2,1/($C$1:C926&lt;&gt;""),$C$1:C926)-1)</f>
        <v/>
      </c>
    </row>
    <row r="928" spans="1:4" x14ac:dyDescent="0.25">
      <c r="A928" s="1">
        <v>45506</v>
      </c>
      <c r="B928" s="2">
        <v>488.14</v>
      </c>
      <c r="C928">
        <f t="shared" si="14"/>
        <v>488.14</v>
      </c>
      <c r="D928" cm="1">
        <f t="array" ref="D928">IF(C928="","",C928/LOOKUP(2,1/($C$1:C927&lt;&gt;""),$C$1:C927)-1)</f>
        <v>4.8185527163409958E-2</v>
      </c>
    </row>
    <row r="929" spans="1:4" hidden="1" x14ac:dyDescent="0.25">
      <c r="A929" s="1">
        <v>45509</v>
      </c>
      <c r="B929" s="2">
        <v>475.73</v>
      </c>
      <c r="C929" t="str">
        <f t="shared" si="14"/>
        <v/>
      </c>
      <c r="D929" s="5" t="str" cm="1">
        <f t="array" ref="D929">IF(C929="","",C929/LOOKUP(2,1/($C$1:C928&lt;&gt;""),$C$1:C928)-1)</f>
        <v/>
      </c>
    </row>
    <row r="930" spans="1:4" hidden="1" x14ac:dyDescent="0.25">
      <c r="A930" s="1">
        <v>45510</v>
      </c>
      <c r="B930" s="2">
        <v>494.09</v>
      </c>
      <c r="C930" t="str">
        <f t="shared" si="14"/>
        <v/>
      </c>
      <c r="D930" s="5" t="str" cm="1">
        <f t="array" ref="D930">IF(C930="","",C930/LOOKUP(2,1/($C$1:C929&lt;&gt;""),$C$1:C929)-1)</f>
        <v/>
      </c>
    </row>
    <row r="931" spans="1:4" hidden="1" x14ac:dyDescent="0.25">
      <c r="A931" s="1">
        <v>45511</v>
      </c>
      <c r="B931" s="2">
        <v>488.92</v>
      </c>
      <c r="C931" t="str">
        <f t="shared" si="14"/>
        <v/>
      </c>
      <c r="D931" s="5" t="str" cm="1">
        <f t="array" ref="D931">IF(C931="","",C931/LOOKUP(2,1/($C$1:C930&lt;&gt;""),$C$1:C930)-1)</f>
        <v/>
      </c>
    </row>
    <row r="932" spans="1:4" hidden="1" x14ac:dyDescent="0.25">
      <c r="A932" s="1">
        <v>45512</v>
      </c>
      <c r="B932" s="2">
        <v>509.63</v>
      </c>
      <c r="C932" t="str">
        <f t="shared" si="14"/>
        <v/>
      </c>
      <c r="D932" s="5" t="str" cm="1">
        <f t="array" ref="D932">IF(C932="","",C932/LOOKUP(2,1/($C$1:C931&lt;&gt;""),$C$1:C931)-1)</f>
        <v/>
      </c>
    </row>
    <row r="933" spans="1:4" x14ac:dyDescent="0.25">
      <c r="A933" s="1">
        <v>45513</v>
      </c>
      <c r="B933" s="2">
        <v>517.77</v>
      </c>
      <c r="C933">
        <f t="shared" si="14"/>
        <v>517.77</v>
      </c>
      <c r="D933" cm="1">
        <f t="array" ref="D933">IF(C933="","",C933/LOOKUP(2,1/($C$1:C932&lt;&gt;""),$C$1:C932)-1)</f>
        <v>6.0699799237923457E-2</v>
      </c>
    </row>
    <row r="934" spans="1:4" hidden="1" x14ac:dyDescent="0.25">
      <c r="A934" s="1">
        <v>45516</v>
      </c>
      <c r="B934" s="2">
        <v>515.95000000000005</v>
      </c>
      <c r="C934" t="str">
        <f t="shared" si="14"/>
        <v/>
      </c>
      <c r="D934" s="5" t="str" cm="1">
        <f t="array" ref="D934">IF(C934="","",C934/LOOKUP(2,1/($C$1:C933&lt;&gt;""),$C$1:C933)-1)</f>
        <v/>
      </c>
    </row>
    <row r="935" spans="1:4" hidden="1" x14ac:dyDescent="0.25">
      <c r="A935" s="1">
        <v>45517</v>
      </c>
      <c r="B935" s="2">
        <v>528.54</v>
      </c>
      <c r="C935" t="str">
        <f t="shared" si="14"/>
        <v/>
      </c>
      <c r="D935" s="5" t="str" cm="1">
        <f t="array" ref="D935">IF(C935="","",C935/LOOKUP(2,1/($C$1:C934&lt;&gt;""),$C$1:C934)-1)</f>
        <v/>
      </c>
    </row>
    <row r="936" spans="1:4" hidden="1" x14ac:dyDescent="0.25">
      <c r="A936" s="1">
        <v>45518</v>
      </c>
      <c r="B936" s="2">
        <v>526.76</v>
      </c>
      <c r="C936" t="str">
        <f t="shared" si="14"/>
        <v/>
      </c>
      <c r="D936" s="5" t="str" cm="1">
        <f t="array" ref="D936">IF(C936="","",C936/LOOKUP(2,1/($C$1:C935&lt;&gt;""),$C$1:C935)-1)</f>
        <v/>
      </c>
    </row>
    <row r="937" spans="1:4" hidden="1" x14ac:dyDescent="0.25">
      <c r="A937" s="1">
        <v>45519</v>
      </c>
      <c r="B937" s="2">
        <v>537.33000000000004</v>
      </c>
      <c r="C937" t="str">
        <f t="shared" si="14"/>
        <v/>
      </c>
      <c r="D937" s="5" t="str" cm="1">
        <f t="array" ref="D937">IF(C937="","",C937/LOOKUP(2,1/($C$1:C936&lt;&gt;""),$C$1:C936)-1)</f>
        <v/>
      </c>
    </row>
    <row r="938" spans="1:4" x14ac:dyDescent="0.25">
      <c r="A938" s="1">
        <v>45520</v>
      </c>
      <c r="B938" s="2">
        <v>527.41999999999996</v>
      </c>
      <c r="C938">
        <f t="shared" si="14"/>
        <v>527.41999999999996</v>
      </c>
      <c r="D938" cm="1">
        <f t="array" ref="D938">IF(C938="","",C938/LOOKUP(2,1/($C$1:C937&lt;&gt;""),$C$1:C937)-1)</f>
        <v>1.863761902002814E-2</v>
      </c>
    </row>
    <row r="939" spans="1:4" hidden="1" x14ac:dyDescent="0.25">
      <c r="A939" s="1">
        <v>45523</v>
      </c>
      <c r="B939" s="2">
        <v>529.28</v>
      </c>
      <c r="C939" t="str">
        <f t="shared" si="14"/>
        <v/>
      </c>
      <c r="D939" s="5" t="str" cm="1">
        <f t="array" ref="D939">IF(C939="","",C939/LOOKUP(2,1/($C$1:C938&lt;&gt;""),$C$1:C938)-1)</f>
        <v/>
      </c>
    </row>
    <row r="940" spans="1:4" hidden="1" x14ac:dyDescent="0.25">
      <c r="A940" s="1">
        <v>45524</v>
      </c>
      <c r="B940" s="2">
        <v>526.73</v>
      </c>
      <c r="C940" t="str">
        <f t="shared" si="14"/>
        <v/>
      </c>
      <c r="D940" s="5" t="str" cm="1">
        <f t="array" ref="D940">IF(C940="","",C940/LOOKUP(2,1/($C$1:C939&lt;&gt;""),$C$1:C939)-1)</f>
        <v/>
      </c>
    </row>
    <row r="941" spans="1:4" hidden="1" x14ac:dyDescent="0.25">
      <c r="A941" s="1">
        <v>45525</v>
      </c>
      <c r="B941" s="2">
        <v>535.16</v>
      </c>
      <c r="C941" t="str">
        <f t="shared" si="14"/>
        <v/>
      </c>
      <c r="D941" s="5" t="str" cm="1">
        <f t="array" ref="D941">IF(C941="","",C941/LOOKUP(2,1/($C$1:C940&lt;&gt;""),$C$1:C940)-1)</f>
        <v/>
      </c>
    </row>
    <row r="942" spans="1:4" hidden="1" x14ac:dyDescent="0.25">
      <c r="A942" s="1">
        <v>45526</v>
      </c>
      <c r="B942" s="2">
        <v>531.92999999999995</v>
      </c>
      <c r="C942" t="str">
        <f t="shared" si="14"/>
        <v/>
      </c>
      <c r="D942" s="5" t="str" cm="1">
        <f t="array" ref="D942">IF(C942="","",C942/LOOKUP(2,1/($C$1:C941&lt;&gt;""),$C$1:C941)-1)</f>
        <v/>
      </c>
    </row>
    <row r="943" spans="1:4" x14ac:dyDescent="0.25">
      <c r="A943" s="1">
        <v>45527</v>
      </c>
      <c r="B943" s="2">
        <v>528</v>
      </c>
      <c r="C943">
        <f t="shared" si="14"/>
        <v>528</v>
      </c>
      <c r="D943" cm="1">
        <f t="array" ref="D943">IF(C943="","",C943/LOOKUP(2,1/($C$1:C942&lt;&gt;""),$C$1:C942)-1)</f>
        <v>1.0996928444124698E-3</v>
      </c>
    </row>
    <row r="944" spans="1:4" hidden="1" x14ac:dyDescent="0.25">
      <c r="A944" s="1">
        <v>45530</v>
      </c>
      <c r="B944" s="2">
        <v>521.12</v>
      </c>
      <c r="C944" t="str">
        <f t="shared" si="14"/>
        <v/>
      </c>
      <c r="D944" s="5" t="str" cm="1">
        <f t="array" ref="D944">IF(C944="","",C944/LOOKUP(2,1/($C$1:C943&lt;&gt;""),$C$1:C943)-1)</f>
        <v/>
      </c>
    </row>
    <row r="945" spans="1:4" hidden="1" x14ac:dyDescent="0.25">
      <c r="A945" s="1">
        <v>45531</v>
      </c>
      <c r="B945" s="2">
        <v>519.1</v>
      </c>
      <c r="C945" t="str">
        <f t="shared" si="14"/>
        <v/>
      </c>
      <c r="D945" s="5" t="str" cm="1">
        <f t="array" ref="D945">IF(C945="","",C945/LOOKUP(2,1/($C$1:C944&lt;&gt;""),$C$1:C944)-1)</f>
        <v/>
      </c>
    </row>
    <row r="946" spans="1:4" hidden="1" x14ac:dyDescent="0.25">
      <c r="A946" s="1">
        <v>45532</v>
      </c>
      <c r="B946" s="2">
        <v>516.78</v>
      </c>
      <c r="C946" t="str">
        <f t="shared" si="14"/>
        <v/>
      </c>
      <c r="D946" s="5" t="str" cm="1">
        <f t="array" ref="D946">IF(C946="","",C946/LOOKUP(2,1/($C$1:C945&lt;&gt;""),$C$1:C945)-1)</f>
        <v/>
      </c>
    </row>
    <row r="947" spans="1:4" hidden="1" x14ac:dyDescent="0.25">
      <c r="A947" s="1">
        <v>45533</v>
      </c>
      <c r="B947" s="2">
        <v>518.22</v>
      </c>
      <c r="C947" t="str">
        <f t="shared" si="14"/>
        <v/>
      </c>
      <c r="D947" s="5" t="str" cm="1">
        <f t="array" ref="D947">IF(C947="","",C947/LOOKUP(2,1/($C$1:C946&lt;&gt;""),$C$1:C946)-1)</f>
        <v/>
      </c>
    </row>
    <row r="948" spans="1:4" x14ac:dyDescent="0.25">
      <c r="A948" s="1">
        <v>45534</v>
      </c>
      <c r="B948" s="2">
        <v>521.30999999999995</v>
      </c>
      <c r="C948">
        <f t="shared" si="14"/>
        <v>521.30999999999995</v>
      </c>
      <c r="D948" cm="1">
        <f t="array" ref="D948">IF(C948="","",C948/LOOKUP(2,1/($C$1:C947&lt;&gt;""),$C$1:C947)-1)</f>
        <v>-1.2670454545454679E-2</v>
      </c>
    </row>
    <row r="949" spans="1:4" hidden="1" x14ac:dyDescent="0.25">
      <c r="A949" s="1">
        <v>45538</v>
      </c>
      <c r="B949" s="2">
        <v>511.76</v>
      </c>
      <c r="C949" t="str">
        <f t="shared" si="14"/>
        <v/>
      </c>
      <c r="D949" s="5" t="str" cm="1">
        <f t="array" ref="D949">IF(C949="","",C949/LOOKUP(2,1/($C$1:C948&lt;&gt;""),$C$1:C948)-1)</f>
        <v/>
      </c>
    </row>
    <row r="950" spans="1:4" hidden="1" x14ac:dyDescent="0.25">
      <c r="A950" s="1">
        <v>45539</v>
      </c>
      <c r="B950" s="2">
        <v>512.74</v>
      </c>
      <c r="C950" t="str">
        <f t="shared" si="14"/>
        <v/>
      </c>
      <c r="D950" s="5" t="str" cm="1">
        <f t="array" ref="D950">IF(C950="","",C950/LOOKUP(2,1/($C$1:C949&lt;&gt;""),$C$1:C949)-1)</f>
        <v/>
      </c>
    </row>
    <row r="951" spans="1:4" hidden="1" x14ac:dyDescent="0.25">
      <c r="A951" s="1">
        <v>45540</v>
      </c>
      <c r="B951" s="2">
        <v>516.86</v>
      </c>
      <c r="C951" t="str">
        <f t="shared" si="14"/>
        <v/>
      </c>
      <c r="D951" s="5" t="str" cm="1">
        <f t="array" ref="D951">IF(C951="","",C951/LOOKUP(2,1/($C$1:C950&lt;&gt;""),$C$1:C950)-1)</f>
        <v/>
      </c>
    </row>
    <row r="952" spans="1:4" x14ac:dyDescent="0.25">
      <c r="A952" s="1">
        <v>45541</v>
      </c>
      <c r="B952" s="2">
        <v>500.27</v>
      </c>
      <c r="C952">
        <f t="shared" si="14"/>
        <v>500.27</v>
      </c>
      <c r="D952" cm="1">
        <f t="array" ref="D952">IF(C952="","",C952/LOOKUP(2,1/($C$1:C951&lt;&gt;""),$C$1:C951)-1)</f>
        <v>-4.0359862653699285E-2</v>
      </c>
    </row>
    <row r="953" spans="1:4" hidden="1" x14ac:dyDescent="0.25">
      <c r="A953" s="1">
        <v>45544</v>
      </c>
      <c r="B953" s="2">
        <v>504.79</v>
      </c>
      <c r="C953" t="str">
        <f t="shared" si="14"/>
        <v/>
      </c>
      <c r="D953" s="5" t="str" cm="1">
        <f t="array" ref="D953">IF(C953="","",C953/LOOKUP(2,1/($C$1:C952&lt;&gt;""),$C$1:C952)-1)</f>
        <v/>
      </c>
    </row>
    <row r="954" spans="1:4" hidden="1" x14ac:dyDescent="0.25">
      <c r="A954" s="1">
        <v>45545</v>
      </c>
      <c r="B954" s="2">
        <v>504.79</v>
      </c>
      <c r="C954" t="str">
        <f t="shared" si="14"/>
        <v/>
      </c>
      <c r="D954" s="5" t="str" cm="1">
        <f t="array" ref="D954">IF(C954="","",C954/LOOKUP(2,1/($C$1:C953&lt;&gt;""),$C$1:C953)-1)</f>
        <v/>
      </c>
    </row>
    <row r="955" spans="1:4" hidden="1" x14ac:dyDescent="0.25">
      <c r="A955" s="1">
        <v>45546</v>
      </c>
      <c r="B955" s="2">
        <v>511.83</v>
      </c>
      <c r="C955" t="str">
        <f t="shared" si="14"/>
        <v/>
      </c>
      <c r="D955" s="5" t="str" cm="1">
        <f t="array" ref="D955">IF(C955="","",C955/LOOKUP(2,1/($C$1:C954&lt;&gt;""),$C$1:C954)-1)</f>
        <v/>
      </c>
    </row>
    <row r="956" spans="1:4" hidden="1" x14ac:dyDescent="0.25">
      <c r="A956" s="1">
        <v>45547</v>
      </c>
      <c r="B956" s="2">
        <v>525.6</v>
      </c>
      <c r="C956" t="str">
        <f t="shared" si="14"/>
        <v/>
      </c>
      <c r="D956" s="5" t="str" cm="1">
        <f t="array" ref="D956">IF(C956="","",C956/LOOKUP(2,1/($C$1:C955&lt;&gt;""),$C$1:C955)-1)</f>
        <v/>
      </c>
    </row>
    <row r="957" spans="1:4" x14ac:dyDescent="0.25">
      <c r="A957" s="1">
        <v>45548</v>
      </c>
      <c r="B957" s="2">
        <v>524.62</v>
      </c>
      <c r="C957">
        <f t="shared" si="14"/>
        <v>524.62</v>
      </c>
      <c r="D957" cm="1">
        <f t="array" ref="D957">IF(C957="","",C957/LOOKUP(2,1/($C$1:C956&lt;&gt;""),$C$1:C956)-1)</f>
        <v>4.8673716193255778E-2</v>
      </c>
    </row>
    <row r="958" spans="1:4" hidden="1" x14ac:dyDescent="0.25">
      <c r="A958" s="1">
        <v>45551</v>
      </c>
      <c r="B958" s="2">
        <v>533.28</v>
      </c>
      <c r="C958" t="str">
        <f t="shared" si="14"/>
        <v/>
      </c>
      <c r="D958" s="5" t="str" cm="1">
        <f t="array" ref="D958">IF(C958="","",C958/LOOKUP(2,1/($C$1:C957&lt;&gt;""),$C$1:C957)-1)</f>
        <v/>
      </c>
    </row>
    <row r="959" spans="1:4" hidden="1" x14ac:dyDescent="0.25">
      <c r="A959" s="1">
        <v>45552</v>
      </c>
      <c r="B959" s="2">
        <v>536.31500000000005</v>
      </c>
      <c r="C959" t="str">
        <f t="shared" si="14"/>
        <v/>
      </c>
      <c r="D959" s="5" t="str" cm="1">
        <f t="array" ref="D959">IF(C959="","",C959/LOOKUP(2,1/($C$1:C958&lt;&gt;""),$C$1:C958)-1)</f>
        <v/>
      </c>
    </row>
    <row r="960" spans="1:4" hidden="1" x14ac:dyDescent="0.25">
      <c r="A960" s="1">
        <v>45553</v>
      </c>
      <c r="B960" s="2">
        <v>537.95000000000005</v>
      </c>
      <c r="C960" t="str">
        <f t="shared" si="14"/>
        <v/>
      </c>
      <c r="D960" s="5" t="str" cm="1">
        <f t="array" ref="D960">IF(C960="","",C960/LOOKUP(2,1/($C$1:C959&lt;&gt;""),$C$1:C959)-1)</f>
        <v/>
      </c>
    </row>
    <row r="961" spans="1:4" hidden="1" x14ac:dyDescent="0.25">
      <c r="A961" s="1">
        <v>45554</v>
      </c>
      <c r="B961" s="2">
        <v>559.1</v>
      </c>
      <c r="C961" t="str">
        <f t="shared" si="14"/>
        <v/>
      </c>
      <c r="D961" s="5" t="str" cm="1">
        <f t="array" ref="D961">IF(C961="","",C961/LOOKUP(2,1/($C$1:C960&lt;&gt;""),$C$1:C960)-1)</f>
        <v/>
      </c>
    </row>
    <row r="962" spans="1:4" x14ac:dyDescent="0.25">
      <c r="A962" s="1">
        <v>45555</v>
      </c>
      <c r="B962" s="2">
        <v>561.35</v>
      </c>
      <c r="C962">
        <f t="shared" si="14"/>
        <v>561.35</v>
      </c>
      <c r="D962" cm="1">
        <f t="array" ref="D962">IF(C962="","",C962/LOOKUP(2,1/($C$1:C961&lt;&gt;""),$C$1:C961)-1)</f>
        <v>7.0012580534482227E-2</v>
      </c>
    </row>
    <row r="963" spans="1:4" hidden="1" x14ac:dyDescent="0.25">
      <c r="A963" s="1">
        <v>45558</v>
      </c>
      <c r="B963" s="2">
        <v>564.41</v>
      </c>
      <c r="C963" t="str">
        <f t="shared" ref="C963:C1026" si="15">IF(WEEKNUM(A963)&lt;&gt;WEEKNUM(A964),B963,"")</f>
        <v/>
      </c>
      <c r="D963" s="5" t="str" cm="1">
        <f t="array" ref="D963">IF(C963="","",C963/LOOKUP(2,1/($C$1:C962&lt;&gt;""),$C$1:C962)-1)</f>
        <v/>
      </c>
    </row>
    <row r="964" spans="1:4" hidden="1" x14ac:dyDescent="0.25">
      <c r="A964" s="1">
        <v>45559</v>
      </c>
      <c r="B964" s="2">
        <v>563.33000000000004</v>
      </c>
      <c r="C964" t="str">
        <f t="shared" si="15"/>
        <v/>
      </c>
      <c r="D964" s="5" t="str" cm="1">
        <f t="array" ref="D964">IF(C964="","",C964/LOOKUP(2,1/($C$1:C963&lt;&gt;""),$C$1:C963)-1)</f>
        <v/>
      </c>
    </row>
    <row r="965" spans="1:4" hidden="1" x14ac:dyDescent="0.25">
      <c r="A965" s="1">
        <v>45560</v>
      </c>
      <c r="B965" s="2">
        <v>568.30999999999995</v>
      </c>
      <c r="C965" t="str">
        <f t="shared" si="15"/>
        <v/>
      </c>
      <c r="D965" s="5" t="str" cm="1">
        <f t="array" ref="D965">IF(C965="","",C965/LOOKUP(2,1/($C$1:C964&lt;&gt;""),$C$1:C964)-1)</f>
        <v/>
      </c>
    </row>
    <row r="966" spans="1:4" hidden="1" x14ac:dyDescent="0.25">
      <c r="A966" s="1">
        <v>45561</v>
      </c>
      <c r="B966" s="2">
        <v>567.84</v>
      </c>
      <c r="C966" t="str">
        <f t="shared" si="15"/>
        <v/>
      </c>
      <c r="D966" s="5" t="str" cm="1">
        <f t="array" ref="D966">IF(C966="","",C966/LOOKUP(2,1/($C$1:C965&lt;&gt;""),$C$1:C965)-1)</f>
        <v/>
      </c>
    </row>
    <row r="967" spans="1:4" x14ac:dyDescent="0.25">
      <c r="A967" s="1">
        <v>45562</v>
      </c>
      <c r="B967" s="2">
        <v>567.36</v>
      </c>
      <c r="C967">
        <f t="shared" si="15"/>
        <v>567.36</v>
      </c>
      <c r="D967" cm="1">
        <f t="array" ref="D967">IF(C967="","",C967/LOOKUP(2,1/($C$1:C966&lt;&gt;""),$C$1:C966)-1)</f>
        <v>1.0706332947359121E-2</v>
      </c>
    </row>
    <row r="968" spans="1:4" hidden="1" x14ac:dyDescent="0.25">
      <c r="A968" s="1">
        <v>45565</v>
      </c>
      <c r="B968" s="2">
        <v>572.44000000000005</v>
      </c>
      <c r="C968" t="str">
        <f t="shared" si="15"/>
        <v/>
      </c>
      <c r="D968" s="5" t="str" cm="1">
        <f t="array" ref="D968">IF(C968="","",C968/LOOKUP(2,1/($C$1:C967&lt;&gt;""),$C$1:C967)-1)</f>
        <v/>
      </c>
    </row>
    <row r="969" spans="1:4" hidden="1" x14ac:dyDescent="0.25">
      <c r="A969" s="1">
        <v>45566</v>
      </c>
      <c r="B969" s="2">
        <v>576.47</v>
      </c>
      <c r="C969" t="str">
        <f t="shared" si="15"/>
        <v/>
      </c>
      <c r="D969" s="5" t="str" cm="1">
        <f t="array" ref="D969">IF(C969="","",C969/LOOKUP(2,1/($C$1:C968&lt;&gt;""),$C$1:C968)-1)</f>
        <v/>
      </c>
    </row>
    <row r="970" spans="1:4" hidden="1" x14ac:dyDescent="0.25">
      <c r="A970" s="1">
        <v>45567</v>
      </c>
      <c r="B970" s="2">
        <v>572.80999999999995</v>
      </c>
      <c r="C970" t="str">
        <f t="shared" si="15"/>
        <v/>
      </c>
      <c r="D970" s="5" t="str" cm="1">
        <f t="array" ref="D970">IF(C970="","",C970/LOOKUP(2,1/($C$1:C969&lt;&gt;""),$C$1:C969)-1)</f>
        <v/>
      </c>
    </row>
    <row r="971" spans="1:4" hidden="1" x14ac:dyDescent="0.25">
      <c r="A971" s="1">
        <v>45568</v>
      </c>
      <c r="B971" s="2">
        <v>582.77</v>
      </c>
      <c r="C971" t="str">
        <f t="shared" si="15"/>
        <v/>
      </c>
      <c r="D971" s="5" t="str" cm="1">
        <f t="array" ref="D971">IF(C971="","",C971/LOOKUP(2,1/($C$1:C970&lt;&gt;""),$C$1:C970)-1)</f>
        <v/>
      </c>
    </row>
    <row r="972" spans="1:4" x14ac:dyDescent="0.25">
      <c r="A972" s="1">
        <v>45569</v>
      </c>
      <c r="B972" s="2">
        <v>595.94000000000005</v>
      </c>
      <c r="C972">
        <f t="shared" si="15"/>
        <v>595.94000000000005</v>
      </c>
      <c r="D972" cm="1">
        <f t="array" ref="D972">IF(C972="","",C972/LOOKUP(2,1/($C$1:C971&lt;&gt;""),$C$1:C971)-1)</f>
        <v>5.037366046249292E-2</v>
      </c>
    </row>
    <row r="973" spans="1:4" hidden="1" x14ac:dyDescent="0.25">
      <c r="A973" s="1">
        <v>45572</v>
      </c>
      <c r="B973" s="2">
        <v>584.78</v>
      </c>
      <c r="C973" t="str">
        <f t="shared" si="15"/>
        <v/>
      </c>
      <c r="D973" s="5" t="str" cm="1">
        <f t="array" ref="D973">IF(C973="","",C973/LOOKUP(2,1/($C$1:C972&lt;&gt;""),$C$1:C972)-1)</f>
        <v/>
      </c>
    </row>
    <row r="974" spans="1:4" hidden="1" x14ac:dyDescent="0.25">
      <c r="A974" s="1">
        <v>45573</v>
      </c>
      <c r="B974" s="2">
        <v>592.89</v>
      </c>
      <c r="C974" t="str">
        <f t="shared" si="15"/>
        <v/>
      </c>
      <c r="D974" s="5" t="str" cm="1">
        <f t="array" ref="D974">IF(C974="","",C974/LOOKUP(2,1/($C$1:C973&lt;&gt;""),$C$1:C973)-1)</f>
        <v/>
      </c>
    </row>
    <row r="975" spans="1:4" hidden="1" x14ac:dyDescent="0.25">
      <c r="A975" s="1">
        <v>45574</v>
      </c>
      <c r="B975" s="2">
        <v>590.51</v>
      </c>
      <c r="C975" t="str">
        <f t="shared" si="15"/>
        <v/>
      </c>
      <c r="D975" s="5" t="str" cm="1">
        <f t="array" ref="D975">IF(C975="","",C975/LOOKUP(2,1/($C$1:C974&lt;&gt;""),$C$1:C974)-1)</f>
        <v/>
      </c>
    </row>
    <row r="976" spans="1:4" hidden="1" x14ac:dyDescent="0.25">
      <c r="A976" s="1">
        <v>45575</v>
      </c>
      <c r="B976" s="2">
        <v>583.83000000000004</v>
      </c>
      <c r="C976" t="str">
        <f t="shared" si="15"/>
        <v/>
      </c>
      <c r="D976" s="5" t="str" cm="1">
        <f t="array" ref="D976">IF(C976="","",C976/LOOKUP(2,1/($C$1:C975&lt;&gt;""),$C$1:C975)-1)</f>
        <v/>
      </c>
    </row>
    <row r="977" spans="1:4" x14ac:dyDescent="0.25">
      <c r="A977" s="1">
        <v>45576</v>
      </c>
      <c r="B977" s="2">
        <v>589.95000000000005</v>
      </c>
      <c r="C977">
        <f t="shared" si="15"/>
        <v>589.95000000000005</v>
      </c>
      <c r="D977" cm="1">
        <f t="array" ref="D977">IF(C977="","",C977/LOOKUP(2,1/($C$1:C976&lt;&gt;""),$C$1:C976)-1)</f>
        <v>-1.0051347451085713E-2</v>
      </c>
    </row>
    <row r="978" spans="1:4" hidden="1" x14ac:dyDescent="0.25">
      <c r="A978" s="1">
        <v>45579</v>
      </c>
      <c r="B978" s="2">
        <v>590.41999999999996</v>
      </c>
      <c r="C978" t="str">
        <f t="shared" si="15"/>
        <v/>
      </c>
      <c r="D978" s="5" t="str" cm="1">
        <f t="array" ref="D978">IF(C978="","",C978/LOOKUP(2,1/($C$1:C977&lt;&gt;""),$C$1:C977)-1)</f>
        <v/>
      </c>
    </row>
    <row r="979" spans="1:4" hidden="1" x14ac:dyDescent="0.25">
      <c r="A979" s="1">
        <v>45580</v>
      </c>
      <c r="B979" s="2">
        <v>586.27</v>
      </c>
      <c r="C979" t="str">
        <f t="shared" si="15"/>
        <v/>
      </c>
      <c r="D979" s="5" t="str" cm="1">
        <f t="array" ref="D979">IF(C979="","",C979/LOOKUP(2,1/($C$1:C978&lt;&gt;""),$C$1:C978)-1)</f>
        <v/>
      </c>
    </row>
    <row r="980" spans="1:4" hidden="1" x14ac:dyDescent="0.25">
      <c r="A980" s="1">
        <v>45581</v>
      </c>
      <c r="B980" s="2">
        <v>576.79</v>
      </c>
      <c r="C980" t="str">
        <f t="shared" si="15"/>
        <v/>
      </c>
      <c r="D980" s="5" t="str" cm="1">
        <f t="array" ref="D980">IF(C980="","",C980/LOOKUP(2,1/($C$1:C979&lt;&gt;""),$C$1:C979)-1)</f>
        <v/>
      </c>
    </row>
    <row r="981" spans="1:4" hidden="1" x14ac:dyDescent="0.25">
      <c r="A981" s="1">
        <v>45582</v>
      </c>
      <c r="B981" s="2">
        <v>576.92999999999995</v>
      </c>
      <c r="C981" t="str">
        <f t="shared" si="15"/>
        <v/>
      </c>
      <c r="D981" s="5" t="str" cm="1">
        <f t="array" ref="D981">IF(C981="","",C981/LOOKUP(2,1/($C$1:C980&lt;&gt;""),$C$1:C980)-1)</f>
        <v/>
      </c>
    </row>
    <row r="982" spans="1:4" x14ac:dyDescent="0.25">
      <c r="A982" s="1">
        <v>45583</v>
      </c>
      <c r="B982" s="2">
        <v>576.47</v>
      </c>
      <c r="C982">
        <f t="shared" si="15"/>
        <v>576.47</v>
      </c>
      <c r="D982" cm="1">
        <f t="array" ref="D982">IF(C982="","",C982/LOOKUP(2,1/($C$1:C981&lt;&gt;""),$C$1:C981)-1)</f>
        <v>-2.2849394016442148E-2</v>
      </c>
    </row>
    <row r="983" spans="1:4" hidden="1" x14ac:dyDescent="0.25">
      <c r="A983" s="1">
        <v>45586</v>
      </c>
      <c r="B983" s="2">
        <v>575.16</v>
      </c>
      <c r="C983" t="str">
        <f t="shared" si="15"/>
        <v/>
      </c>
      <c r="D983" s="5" t="str" cm="1">
        <f t="array" ref="D983">IF(C983="","",C983/LOOKUP(2,1/($C$1:C982&lt;&gt;""),$C$1:C982)-1)</f>
        <v/>
      </c>
    </row>
    <row r="984" spans="1:4" hidden="1" x14ac:dyDescent="0.25">
      <c r="A984" s="1">
        <v>45587</v>
      </c>
      <c r="B984" s="2">
        <v>582.01</v>
      </c>
      <c r="C984" t="str">
        <f t="shared" si="15"/>
        <v/>
      </c>
      <c r="D984" s="5" t="str" cm="1">
        <f t="array" ref="D984">IF(C984="","",C984/LOOKUP(2,1/($C$1:C983&lt;&gt;""),$C$1:C983)-1)</f>
        <v/>
      </c>
    </row>
    <row r="985" spans="1:4" hidden="1" x14ac:dyDescent="0.25">
      <c r="A985" s="1">
        <v>45588</v>
      </c>
      <c r="B985" s="2">
        <v>563.69000000000005</v>
      </c>
      <c r="C985" t="str">
        <f t="shared" si="15"/>
        <v/>
      </c>
      <c r="D985" s="5" t="str" cm="1">
        <f t="array" ref="D985">IF(C985="","",C985/LOOKUP(2,1/($C$1:C984&lt;&gt;""),$C$1:C984)-1)</f>
        <v/>
      </c>
    </row>
    <row r="986" spans="1:4" hidden="1" x14ac:dyDescent="0.25">
      <c r="A986" s="1">
        <v>45589</v>
      </c>
      <c r="B986" s="2">
        <v>567.78</v>
      </c>
      <c r="C986" t="str">
        <f t="shared" si="15"/>
        <v/>
      </c>
      <c r="D986" s="5" t="str" cm="1">
        <f t="array" ref="D986">IF(C986="","",C986/LOOKUP(2,1/($C$1:C985&lt;&gt;""),$C$1:C985)-1)</f>
        <v/>
      </c>
    </row>
    <row r="987" spans="1:4" x14ac:dyDescent="0.25">
      <c r="A987" s="1">
        <v>45590</v>
      </c>
      <c r="B987" s="2">
        <v>573.25</v>
      </c>
      <c r="C987">
        <f t="shared" si="15"/>
        <v>573.25</v>
      </c>
      <c r="D987" cm="1">
        <f t="array" ref="D987">IF(C987="","",C987/LOOKUP(2,1/($C$1:C986&lt;&gt;""),$C$1:C986)-1)</f>
        <v>-5.5857199854285611E-3</v>
      </c>
    </row>
    <row r="988" spans="1:4" hidden="1" x14ac:dyDescent="0.25">
      <c r="A988" s="1">
        <v>45593</v>
      </c>
      <c r="B988" s="2">
        <v>578.16</v>
      </c>
      <c r="C988" t="str">
        <f t="shared" si="15"/>
        <v/>
      </c>
      <c r="D988" s="5" t="str" cm="1">
        <f t="array" ref="D988">IF(C988="","",C988/LOOKUP(2,1/($C$1:C987&lt;&gt;""),$C$1:C987)-1)</f>
        <v/>
      </c>
    </row>
    <row r="989" spans="1:4" hidden="1" x14ac:dyDescent="0.25">
      <c r="A989" s="1">
        <v>45594</v>
      </c>
      <c r="B989" s="2">
        <v>593.28</v>
      </c>
      <c r="C989" t="str">
        <f t="shared" si="15"/>
        <v/>
      </c>
      <c r="D989" s="5" t="str" cm="1">
        <f t="array" ref="D989">IF(C989="","",C989/LOOKUP(2,1/($C$1:C988&lt;&gt;""),$C$1:C988)-1)</f>
        <v/>
      </c>
    </row>
    <row r="990" spans="1:4" hidden="1" x14ac:dyDescent="0.25">
      <c r="A990" s="1">
        <v>45595</v>
      </c>
      <c r="B990" s="2">
        <v>591.79999999999995</v>
      </c>
      <c r="C990" t="str">
        <f t="shared" si="15"/>
        <v/>
      </c>
      <c r="D990" s="5" t="str" cm="1">
        <f t="array" ref="D990">IF(C990="","",C990/LOOKUP(2,1/($C$1:C989&lt;&gt;""),$C$1:C989)-1)</f>
        <v/>
      </c>
    </row>
    <row r="991" spans="1:4" hidden="1" x14ac:dyDescent="0.25">
      <c r="A991" s="1">
        <v>45596</v>
      </c>
      <c r="B991" s="2">
        <v>567.58000000000004</v>
      </c>
      <c r="C991" t="str">
        <f t="shared" si="15"/>
        <v/>
      </c>
      <c r="D991" s="5" t="str" cm="1">
        <f t="array" ref="D991">IF(C991="","",C991/LOOKUP(2,1/($C$1:C990&lt;&gt;""),$C$1:C990)-1)</f>
        <v/>
      </c>
    </row>
    <row r="992" spans="1:4" x14ac:dyDescent="0.25">
      <c r="A992" s="1">
        <v>45597</v>
      </c>
      <c r="B992" s="2">
        <v>567.16</v>
      </c>
      <c r="C992">
        <f t="shared" si="15"/>
        <v>567.16</v>
      </c>
      <c r="D992" cm="1">
        <f t="array" ref="D992">IF(C992="","",C992/LOOKUP(2,1/($C$1:C991&lt;&gt;""),$C$1:C991)-1)</f>
        <v>-1.0623637156563559E-2</v>
      </c>
    </row>
    <row r="993" spans="1:4" hidden="1" x14ac:dyDescent="0.25">
      <c r="A993" s="1">
        <v>45600</v>
      </c>
      <c r="B993" s="2">
        <v>560.67999999999995</v>
      </c>
      <c r="C993" t="str">
        <f t="shared" si="15"/>
        <v/>
      </c>
      <c r="D993" s="5" t="str" cm="1">
        <f t="array" ref="D993">IF(C993="","",C993/LOOKUP(2,1/($C$1:C992&lt;&gt;""),$C$1:C992)-1)</f>
        <v/>
      </c>
    </row>
    <row r="994" spans="1:4" hidden="1" x14ac:dyDescent="0.25">
      <c r="A994" s="1">
        <v>45601</v>
      </c>
      <c r="B994" s="2">
        <v>572.42999999999995</v>
      </c>
      <c r="C994" t="str">
        <f t="shared" si="15"/>
        <v/>
      </c>
      <c r="D994" s="5" t="str" cm="1">
        <f t="array" ref="D994">IF(C994="","",C994/LOOKUP(2,1/($C$1:C993&lt;&gt;""),$C$1:C993)-1)</f>
        <v/>
      </c>
    </row>
    <row r="995" spans="1:4" hidden="1" x14ac:dyDescent="0.25">
      <c r="A995" s="1">
        <v>45602</v>
      </c>
      <c r="B995" s="2">
        <v>572.04999999999995</v>
      </c>
      <c r="C995" t="str">
        <f t="shared" si="15"/>
        <v/>
      </c>
      <c r="D995" s="5" t="str" cm="1">
        <f t="array" ref="D995">IF(C995="","",C995/LOOKUP(2,1/($C$1:C994&lt;&gt;""),$C$1:C994)-1)</f>
        <v/>
      </c>
    </row>
    <row r="996" spans="1:4" hidden="1" x14ac:dyDescent="0.25">
      <c r="A996" s="1">
        <v>45603</v>
      </c>
      <c r="B996" s="2">
        <v>591.70000000000005</v>
      </c>
      <c r="C996" t="str">
        <f t="shared" si="15"/>
        <v/>
      </c>
      <c r="D996" s="5" t="str" cm="1">
        <f t="array" ref="D996">IF(C996="","",C996/LOOKUP(2,1/($C$1:C995&lt;&gt;""),$C$1:C995)-1)</f>
        <v/>
      </c>
    </row>
    <row r="997" spans="1:4" x14ac:dyDescent="0.25">
      <c r="A997" s="1">
        <v>45604</v>
      </c>
      <c r="B997" s="2">
        <v>589.34</v>
      </c>
      <c r="C997">
        <f t="shared" si="15"/>
        <v>589.34</v>
      </c>
      <c r="D997" cm="1">
        <f t="array" ref="D997">IF(C997="","",C997/LOOKUP(2,1/($C$1:C996&lt;&gt;""),$C$1:C996)-1)</f>
        <v>3.9107130263065226E-2</v>
      </c>
    </row>
    <row r="998" spans="1:4" hidden="1" x14ac:dyDescent="0.25">
      <c r="A998" s="1">
        <v>45607</v>
      </c>
      <c r="B998" s="2">
        <v>583.16999999999996</v>
      </c>
      <c r="C998" t="str">
        <f t="shared" si="15"/>
        <v/>
      </c>
      <c r="D998" s="5" t="str" cm="1">
        <f t="array" ref="D998">IF(C998="","",C998/LOOKUP(2,1/($C$1:C997&lt;&gt;""),$C$1:C997)-1)</f>
        <v/>
      </c>
    </row>
    <row r="999" spans="1:4" hidden="1" x14ac:dyDescent="0.25">
      <c r="A999" s="1">
        <v>45608</v>
      </c>
      <c r="B999" s="2">
        <v>584.82000000000005</v>
      </c>
      <c r="C999" t="str">
        <f t="shared" si="15"/>
        <v/>
      </c>
      <c r="D999" s="5" t="str" cm="1">
        <f t="array" ref="D999">IF(C999="","",C999/LOOKUP(2,1/($C$1:C998&lt;&gt;""),$C$1:C998)-1)</f>
        <v/>
      </c>
    </row>
    <row r="1000" spans="1:4" hidden="1" x14ac:dyDescent="0.25">
      <c r="A1000" s="1">
        <v>45609</v>
      </c>
      <c r="B1000" s="2">
        <v>580</v>
      </c>
      <c r="C1000" t="str">
        <f t="shared" si="15"/>
        <v/>
      </c>
      <c r="D1000" s="5" t="str" cm="1">
        <f t="array" ref="D1000">IF(C1000="","",C1000/LOOKUP(2,1/($C$1:C999&lt;&gt;""),$C$1:C999)-1)</f>
        <v/>
      </c>
    </row>
    <row r="1001" spans="1:4" hidden="1" x14ac:dyDescent="0.25">
      <c r="A1001" s="1">
        <v>45610</v>
      </c>
      <c r="B1001" s="2">
        <v>577.16</v>
      </c>
      <c r="C1001" t="str">
        <f t="shared" si="15"/>
        <v/>
      </c>
      <c r="D1001" s="5" t="str" cm="1">
        <f t="array" ref="D1001">IF(C1001="","",C1001/LOOKUP(2,1/($C$1:C1000&lt;&gt;""),$C$1:C1000)-1)</f>
        <v/>
      </c>
    </row>
    <row r="1002" spans="1:4" x14ac:dyDescent="0.25">
      <c r="A1002" s="1">
        <v>45611</v>
      </c>
      <c r="B1002" s="2">
        <v>554.08000000000004</v>
      </c>
      <c r="C1002">
        <f t="shared" si="15"/>
        <v>554.08000000000004</v>
      </c>
      <c r="D1002" cm="1">
        <f t="array" ref="D1002">IF(C1002="","",C1002/LOOKUP(2,1/($C$1:C1001&lt;&gt;""),$C$1:C1001)-1)</f>
        <v>-5.982963993619983E-2</v>
      </c>
    </row>
    <row r="1003" spans="1:4" hidden="1" x14ac:dyDescent="0.25">
      <c r="A1003" s="1">
        <v>45614</v>
      </c>
      <c r="B1003" s="2">
        <v>554.4</v>
      </c>
      <c r="C1003" t="str">
        <f t="shared" si="15"/>
        <v/>
      </c>
      <c r="D1003" s="5" t="str" cm="1">
        <f t="array" ref="D1003">IF(C1003="","",C1003/LOOKUP(2,1/($C$1:C1002&lt;&gt;""),$C$1:C1002)-1)</f>
        <v/>
      </c>
    </row>
    <row r="1004" spans="1:4" hidden="1" x14ac:dyDescent="0.25">
      <c r="A1004" s="1">
        <v>45615</v>
      </c>
      <c r="B1004" s="2">
        <v>561.09</v>
      </c>
      <c r="C1004" t="str">
        <f t="shared" si="15"/>
        <v/>
      </c>
      <c r="D1004" s="5" t="str" cm="1">
        <f t="array" ref="D1004">IF(C1004="","",C1004/LOOKUP(2,1/($C$1:C1003&lt;&gt;""),$C$1:C1003)-1)</f>
        <v/>
      </c>
    </row>
    <row r="1005" spans="1:4" hidden="1" x14ac:dyDescent="0.25">
      <c r="A1005" s="1">
        <v>45616</v>
      </c>
      <c r="B1005" s="2">
        <v>565.52</v>
      </c>
      <c r="C1005" t="str">
        <f t="shared" si="15"/>
        <v/>
      </c>
      <c r="D1005" s="5" t="str" cm="1">
        <f t="array" ref="D1005">IF(C1005="","",C1005/LOOKUP(2,1/($C$1:C1004&lt;&gt;""),$C$1:C1004)-1)</f>
        <v/>
      </c>
    </row>
    <row r="1006" spans="1:4" hidden="1" x14ac:dyDescent="0.25">
      <c r="A1006" s="1">
        <v>45617</v>
      </c>
      <c r="B1006" s="2">
        <v>563.09</v>
      </c>
      <c r="C1006" t="str">
        <f t="shared" si="15"/>
        <v/>
      </c>
      <c r="D1006" s="5" t="str" cm="1">
        <f t="array" ref="D1006">IF(C1006="","",C1006/LOOKUP(2,1/($C$1:C1005&lt;&gt;""),$C$1:C1005)-1)</f>
        <v/>
      </c>
    </row>
    <row r="1007" spans="1:4" x14ac:dyDescent="0.25">
      <c r="A1007" s="1">
        <v>45618</v>
      </c>
      <c r="B1007" s="2">
        <v>559.14</v>
      </c>
      <c r="C1007">
        <f t="shared" si="15"/>
        <v>559.14</v>
      </c>
      <c r="D1007" cm="1">
        <f t="array" ref="D1007">IF(C1007="","",C1007/LOOKUP(2,1/($C$1:C1006&lt;&gt;""),$C$1:C1006)-1)</f>
        <v>9.1322552699970583E-3</v>
      </c>
    </row>
    <row r="1008" spans="1:4" hidden="1" x14ac:dyDescent="0.25">
      <c r="A1008" s="1">
        <v>45621</v>
      </c>
      <c r="B1008" s="2">
        <v>565.11</v>
      </c>
      <c r="C1008" t="str">
        <f t="shared" si="15"/>
        <v/>
      </c>
      <c r="D1008" s="5" t="str" cm="1">
        <f t="array" ref="D1008">IF(C1008="","",C1008/LOOKUP(2,1/($C$1:C1007&lt;&gt;""),$C$1:C1007)-1)</f>
        <v/>
      </c>
    </row>
    <row r="1009" spans="1:4" hidden="1" x14ac:dyDescent="0.25">
      <c r="A1009" s="1">
        <v>45622</v>
      </c>
      <c r="B1009" s="2">
        <v>573.54</v>
      </c>
      <c r="C1009" t="str">
        <f t="shared" si="15"/>
        <v/>
      </c>
      <c r="D1009" s="5" t="str" cm="1">
        <f t="array" ref="D1009">IF(C1009="","",C1009/LOOKUP(2,1/($C$1:C1008&lt;&gt;""),$C$1:C1008)-1)</f>
        <v/>
      </c>
    </row>
    <row r="1010" spans="1:4" hidden="1" x14ac:dyDescent="0.25">
      <c r="A1010" s="1">
        <v>45623</v>
      </c>
      <c r="B1010" s="2">
        <v>569.20000000000005</v>
      </c>
      <c r="C1010" t="str">
        <f t="shared" si="15"/>
        <v/>
      </c>
      <c r="D1010" s="5" t="str" cm="1">
        <f t="array" ref="D1010">IF(C1010="","",C1010/LOOKUP(2,1/($C$1:C1009&lt;&gt;""),$C$1:C1009)-1)</f>
        <v/>
      </c>
    </row>
    <row r="1011" spans="1:4" x14ac:dyDescent="0.25">
      <c r="A1011" s="1">
        <v>45625</v>
      </c>
      <c r="B1011" s="2">
        <v>574.32000000000005</v>
      </c>
      <c r="C1011">
        <f t="shared" si="15"/>
        <v>574.32000000000005</v>
      </c>
      <c r="D1011" cm="1">
        <f t="array" ref="D1011">IF(C1011="","",C1011/LOOKUP(2,1/($C$1:C1010&lt;&gt;""),$C$1:C1010)-1)</f>
        <v>2.7148835711986452E-2</v>
      </c>
    </row>
    <row r="1012" spans="1:4" hidden="1" x14ac:dyDescent="0.25">
      <c r="A1012" s="1">
        <v>45628</v>
      </c>
      <c r="B1012" s="2">
        <v>592.83000000000004</v>
      </c>
      <c r="C1012" t="str">
        <f t="shared" si="15"/>
        <v/>
      </c>
      <c r="D1012" s="5" t="str" cm="1">
        <f t="array" ref="D1012">IF(C1012="","",C1012/LOOKUP(2,1/($C$1:C1011&lt;&gt;""),$C$1:C1011)-1)</f>
        <v/>
      </c>
    </row>
    <row r="1013" spans="1:4" hidden="1" x14ac:dyDescent="0.25">
      <c r="A1013" s="1">
        <v>45629</v>
      </c>
      <c r="B1013" s="2">
        <v>613.65</v>
      </c>
      <c r="C1013" t="str">
        <f t="shared" si="15"/>
        <v/>
      </c>
      <c r="D1013" s="5" t="str" cm="1">
        <f t="array" ref="D1013">IF(C1013="","",C1013/LOOKUP(2,1/($C$1:C1012&lt;&gt;""),$C$1:C1012)-1)</f>
        <v/>
      </c>
    </row>
    <row r="1014" spans="1:4" hidden="1" x14ac:dyDescent="0.25">
      <c r="A1014" s="1">
        <v>45630</v>
      </c>
      <c r="B1014" s="2">
        <v>613.78</v>
      </c>
      <c r="C1014" t="str">
        <f t="shared" si="15"/>
        <v/>
      </c>
      <c r="D1014" s="5" t="str" cm="1">
        <f t="array" ref="D1014">IF(C1014="","",C1014/LOOKUP(2,1/($C$1:C1013&lt;&gt;""),$C$1:C1013)-1)</f>
        <v/>
      </c>
    </row>
    <row r="1015" spans="1:4" hidden="1" x14ac:dyDescent="0.25">
      <c r="A1015" s="1">
        <v>45631</v>
      </c>
      <c r="B1015" s="2">
        <v>608.92999999999995</v>
      </c>
      <c r="C1015" t="str">
        <f t="shared" si="15"/>
        <v/>
      </c>
      <c r="D1015" s="5" t="str" cm="1">
        <f t="array" ref="D1015">IF(C1015="","",C1015/LOOKUP(2,1/($C$1:C1014&lt;&gt;""),$C$1:C1014)-1)</f>
        <v/>
      </c>
    </row>
    <row r="1016" spans="1:4" x14ac:dyDescent="0.25">
      <c r="A1016" s="1">
        <v>45632</v>
      </c>
      <c r="B1016" s="2">
        <v>623.77</v>
      </c>
      <c r="C1016">
        <f t="shared" si="15"/>
        <v>623.77</v>
      </c>
      <c r="D1016" cm="1">
        <f t="array" ref="D1016">IF(C1016="","",C1016/LOOKUP(2,1/($C$1:C1015&lt;&gt;""),$C$1:C1015)-1)</f>
        <v>8.610182476668049E-2</v>
      </c>
    </row>
    <row r="1017" spans="1:4" hidden="1" x14ac:dyDescent="0.25">
      <c r="A1017" s="1">
        <v>45635</v>
      </c>
      <c r="B1017" s="2">
        <v>613.57000000000005</v>
      </c>
      <c r="C1017" t="str">
        <f t="shared" si="15"/>
        <v/>
      </c>
      <c r="D1017" s="5" t="str" cm="1">
        <f t="array" ref="D1017">IF(C1017="","",C1017/LOOKUP(2,1/($C$1:C1016&lt;&gt;""),$C$1:C1016)-1)</f>
        <v/>
      </c>
    </row>
    <row r="1018" spans="1:4" hidden="1" x14ac:dyDescent="0.25">
      <c r="A1018" s="1">
        <v>45636</v>
      </c>
      <c r="B1018" s="2">
        <v>619.32000000000005</v>
      </c>
      <c r="C1018" t="str">
        <f t="shared" si="15"/>
        <v/>
      </c>
      <c r="D1018" s="5" t="str" cm="1">
        <f t="array" ref="D1018">IF(C1018="","",C1018/LOOKUP(2,1/($C$1:C1017&lt;&gt;""),$C$1:C1017)-1)</f>
        <v/>
      </c>
    </row>
    <row r="1019" spans="1:4" hidden="1" x14ac:dyDescent="0.25">
      <c r="A1019" s="1">
        <v>45637</v>
      </c>
      <c r="B1019" s="2">
        <v>632.67999999999995</v>
      </c>
      <c r="C1019" t="str">
        <f t="shared" si="15"/>
        <v/>
      </c>
      <c r="D1019" s="5" t="str" cm="1">
        <f t="array" ref="D1019">IF(C1019="","",C1019/LOOKUP(2,1/($C$1:C1018&lt;&gt;""),$C$1:C1018)-1)</f>
        <v/>
      </c>
    </row>
    <row r="1020" spans="1:4" hidden="1" x14ac:dyDescent="0.25">
      <c r="A1020" s="1">
        <v>45638</v>
      </c>
      <c r="B1020" s="2">
        <v>630.79</v>
      </c>
      <c r="C1020" t="str">
        <f t="shared" si="15"/>
        <v/>
      </c>
      <c r="D1020" s="5" t="str" cm="1">
        <f t="array" ref="D1020">IF(C1020="","",C1020/LOOKUP(2,1/($C$1:C1019&lt;&gt;""),$C$1:C1019)-1)</f>
        <v/>
      </c>
    </row>
    <row r="1021" spans="1:4" x14ac:dyDescent="0.25">
      <c r="A1021" s="1">
        <v>45639</v>
      </c>
      <c r="B1021" s="2">
        <v>620.35</v>
      </c>
      <c r="C1021">
        <f t="shared" si="15"/>
        <v>620.35</v>
      </c>
      <c r="D1021" cm="1">
        <f t="array" ref="D1021">IF(C1021="","",C1021/LOOKUP(2,1/($C$1:C1020&lt;&gt;""),$C$1:C1020)-1)</f>
        <v>-5.4827901309777438E-3</v>
      </c>
    </row>
    <row r="1022" spans="1:4" hidden="1" x14ac:dyDescent="0.25">
      <c r="A1022" s="1">
        <v>45642</v>
      </c>
      <c r="B1022" s="2">
        <v>624.24</v>
      </c>
      <c r="C1022" t="str">
        <f t="shared" si="15"/>
        <v/>
      </c>
      <c r="D1022" s="5" t="str" cm="1">
        <f t="array" ref="D1022">IF(C1022="","",C1022/LOOKUP(2,1/($C$1:C1021&lt;&gt;""),$C$1:C1021)-1)</f>
        <v/>
      </c>
    </row>
    <row r="1023" spans="1:4" hidden="1" x14ac:dyDescent="0.25">
      <c r="A1023" s="1">
        <v>45643</v>
      </c>
      <c r="B1023" s="2">
        <v>619.44000000000005</v>
      </c>
      <c r="C1023" t="str">
        <f t="shared" si="15"/>
        <v/>
      </c>
      <c r="D1023" s="5" t="str" cm="1">
        <f t="array" ref="D1023">IF(C1023="","",C1023/LOOKUP(2,1/($C$1:C1022&lt;&gt;""),$C$1:C1022)-1)</f>
        <v/>
      </c>
    </row>
    <row r="1024" spans="1:4" hidden="1" x14ac:dyDescent="0.25">
      <c r="A1024" s="1">
        <v>45644</v>
      </c>
      <c r="B1024" s="2">
        <v>597.19000000000005</v>
      </c>
      <c r="C1024" t="str">
        <f t="shared" si="15"/>
        <v/>
      </c>
      <c r="D1024" s="5" t="str" cm="1">
        <f t="array" ref="D1024">IF(C1024="","",C1024/LOOKUP(2,1/($C$1:C1023&lt;&gt;""),$C$1:C1023)-1)</f>
        <v/>
      </c>
    </row>
    <row r="1025" spans="1:4" hidden="1" x14ac:dyDescent="0.25">
      <c r="A1025" s="1">
        <v>45645</v>
      </c>
      <c r="B1025" s="2">
        <v>595.57000000000005</v>
      </c>
      <c r="C1025" t="str">
        <f t="shared" si="15"/>
        <v/>
      </c>
      <c r="D1025" s="5" t="str" cm="1">
        <f t="array" ref="D1025">IF(C1025="","",C1025/LOOKUP(2,1/($C$1:C1024&lt;&gt;""),$C$1:C1024)-1)</f>
        <v/>
      </c>
    </row>
    <row r="1026" spans="1:4" x14ac:dyDescent="0.25">
      <c r="A1026" s="1">
        <v>45646</v>
      </c>
      <c r="B1026" s="2">
        <v>585.25</v>
      </c>
      <c r="C1026">
        <f t="shared" si="15"/>
        <v>585.25</v>
      </c>
      <c r="D1026" cm="1">
        <f t="array" ref="D1026">IF(C1026="","",C1026/LOOKUP(2,1/($C$1:C1025&lt;&gt;""),$C$1:C1025)-1)</f>
        <v>-5.6580962359958131E-2</v>
      </c>
    </row>
    <row r="1027" spans="1:4" hidden="1" x14ac:dyDescent="0.25">
      <c r="A1027" s="1">
        <v>45649</v>
      </c>
      <c r="B1027" s="2">
        <v>599.85</v>
      </c>
      <c r="C1027" t="str">
        <f t="shared" ref="C1027:C1090" si="16">IF(WEEKNUM(A1027)&lt;&gt;WEEKNUM(A1028),B1027,"")</f>
        <v/>
      </c>
      <c r="D1027" s="5" t="str" cm="1">
        <f t="array" ref="D1027">IF(C1027="","",C1027/LOOKUP(2,1/($C$1:C1026&lt;&gt;""),$C$1:C1026)-1)</f>
        <v/>
      </c>
    </row>
    <row r="1028" spans="1:4" hidden="1" x14ac:dyDescent="0.25">
      <c r="A1028" s="1">
        <v>45650</v>
      </c>
      <c r="B1028" s="2">
        <v>607.75</v>
      </c>
      <c r="C1028" t="str">
        <f t="shared" si="16"/>
        <v/>
      </c>
      <c r="D1028" s="5" t="str" cm="1">
        <f t="array" ref="D1028">IF(C1028="","",C1028/LOOKUP(2,1/($C$1:C1027&lt;&gt;""),$C$1:C1027)-1)</f>
        <v/>
      </c>
    </row>
    <row r="1029" spans="1:4" hidden="1" x14ac:dyDescent="0.25">
      <c r="A1029" s="1">
        <v>45652</v>
      </c>
      <c r="B1029" s="2">
        <v>603.35</v>
      </c>
      <c r="C1029" t="str">
        <f t="shared" si="16"/>
        <v/>
      </c>
      <c r="D1029" s="5" t="str" cm="1">
        <f t="array" ref="D1029">IF(C1029="","",C1029/LOOKUP(2,1/($C$1:C1028&lt;&gt;""),$C$1:C1028)-1)</f>
        <v/>
      </c>
    </row>
    <row r="1030" spans="1:4" x14ac:dyDescent="0.25">
      <c r="A1030" s="1">
        <v>45653</v>
      </c>
      <c r="B1030" s="2">
        <v>599.80999999999995</v>
      </c>
      <c r="C1030">
        <f t="shared" si="16"/>
        <v>599.80999999999995</v>
      </c>
      <c r="D1030" cm="1">
        <f t="array" ref="D1030">IF(C1030="","",C1030/LOOKUP(2,1/($C$1:C1029&lt;&gt;""),$C$1:C1029)-1)</f>
        <v>2.4878257155061867E-2</v>
      </c>
    </row>
    <row r="1031" spans="1:4" hidden="1" x14ac:dyDescent="0.25">
      <c r="A1031" s="1">
        <v>45656</v>
      </c>
      <c r="B1031" s="2">
        <v>591.24</v>
      </c>
      <c r="C1031" t="str">
        <f t="shared" si="16"/>
        <v/>
      </c>
      <c r="D1031" s="5" t="str" cm="1">
        <f t="array" ref="D1031">IF(C1031="","",C1031/LOOKUP(2,1/($C$1:C1030&lt;&gt;""),$C$1:C1030)-1)</f>
        <v/>
      </c>
    </row>
    <row r="1032" spans="1:4" x14ac:dyDescent="0.25">
      <c r="A1032" s="1">
        <v>45657</v>
      </c>
      <c r="B1032" s="2">
        <v>585.51</v>
      </c>
      <c r="C1032">
        <f t="shared" si="16"/>
        <v>585.51</v>
      </c>
      <c r="D1032" cm="1">
        <f t="array" ref="D1032">IF(C1032="","",C1032/LOOKUP(2,1/($C$1:C1031&lt;&gt;""),$C$1:C1031)-1)</f>
        <v>-2.3840882946266295E-2</v>
      </c>
    </row>
    <row r="1033" spans="1:4" hidden="1" x14ac:dyDescent="0.25">
      <c r="A1033" s="1">
        <v>45659</v>
      </c>
      <c r="B1033" s="2">
        <v>599.24</v>
      </c>
      <c r="C1033" t="str">
        <f t="shared" si="16"/>
        <v/>
      </c>
      <c r="D1033" s="5" t="str" cm="1">
        <f t="array" ref="D1033">IF(C1033="","",C1033/LOOKUP(2,1/($C$1:C1032&lt;&gt;""),$C$1:C1032)-1)</f>
        <v/>
      </c>
    </row>
    <row r="1034" spans="1:4" x14ac:dyDescent="0.25">
      <c r="A1034" s="1">
        <v>45660</v>
      </c>
      <c r="B1034" s="2">
        <v>604.63</v>
      </c>
      <c r="C1034">
        <f t="shared" si="16"/>
        <v>604.63</v>
      </c>
      <c r="D1034" cm="1">
        <f t="array" ref="D1034">IF(C1034="","",C1034/LOOKUP(2,1/($C$1:C1033&lt;&gt;""),$C$1:C1033)-1)</f>
        <v>3.2655291967686351E-2</v>
      </c>
    </row>
    <row r="1035" spans="1:4" hidden="1" x14ac:dyDescent="0.25">
      <c r="A1035" s="1">
        <v>45663</v>
      </c>
      <c r="B1035" s="2">
        <v>630.20000000000005</v>
      </c>
      <c r="C1035" t="str">
        <f t="shared" si="16"/>
        <v/>
      </c>
      <c r="D1035" s="5" t="str" cm="1">
        <f t="array" ref="D1035">IF(C1035="","",C1035/LOOKUP(2,1/($C$1:C1034&lt;&gt;""),$C$1:C1034)-1)</f>
        <v/>
      </c>
    </row>
    <row r="1036" spans="1:4" hidden="1" x14ac:dyDescent="0.25">
      <c r="A1036" s="1">
        <v>45664</v>
      </c>
      <c r="B1036" s="2">
        <v>617.89</v>
      </c>
      <c r="C1036" t="str">
        <f t="shared" si="16"/>
        <v/>
      </c>
      <c r="D1036" s="5" t="str" cm="1">
        <f t="array" ref="D1036">IF(C1036="","",C1036/LOOKUP(2,1/($C$1:C1035&lt;&gt;""),$C$1:C1035)-1)</f>
        <v/>
      </c>
    </row>
    <row r="1037" spans="1:4" hidden="1" x14ac:dyDescent="0.25">
      <c r="A1037" s="1">
        <v>45665</v>
      </c>
      <c r="B1037" s="2">
        <v>610.72</v>
      </c>
      <c r="C1037" t="str">
        <f t="shared" si="16"/>
        <v/>
      </c>
      <c r="D1037" s="5" t="str" cm="1">
        <f t="array" ref="D1037">IF(C1037="","",C1037/LOOKUP(2,1/($C$1:C1036&lt;&gt;""),$C$1:C1036)-1)</f>
        <v/>
      </c>
    </row>
    <row r="1038" spans="1:4" x14ac:dyDescent="0.25">
      <c r="A1038" s="1">
        <v>45667</v>
      </c>
      <c r="B1038" s="2">
        <v>615.86</v>
      </c>
      <c r="C1038">
        <f t="shared" si="16"/>
        <v>615.86</v>
      </c>
      <c r="D1038" cm="1">
        <f t="array" ref="D1038">IF(C1038="","",C1038/LOOKUP(2,1/($C$1:C1037&lt;&gt;""),$C$1:C1037)-1)</f>
        <v>1.857334237467545E-2</v>
      </c>
    </row>
    <row r="1039" spans="1:4" hidden="1" x14ac:dyDescent="0.25">
      <c r="A1039" s="1">
        <v>45670</v>
      </c>
      <c r="B1039" s="2">
        <v>608.33000000000004</v>
      </c>
      <c r="C1039" t="str">
        <f t="shared" si="16"/>
        <v/>
      </c>
      <c r="D1039" s="5" t="str" cm="1">
        <f t="array" ref="D1039">IF(C1039="","",C1039/LOOKUP(2,1/($C$1:C1038&lt;&gt;""),$C$1:C1038)-1)</f>
        <v/>
      </c>
    </row>
    <row r="1040" spans="1:4" hidden="1" x14ac:dyDescent="0.25">
      <c r="A1040" s="1">
        <v>45671</v>
      </c>
      <c r="B1040" s="2">
        <v>594.25</v>
      </c>
      <c r="C1040" t="str">
        <f t="shared" si="16"/>
        <v/>
      </c>
      <c r="D1040" s="5" t="str" cm="1">
        <f t="array" ref="D1040">IF(C1040="","",C1040/LOOKUP(2,1/($C$1:C1039&lt;&gt;""),$C$1:C1039)-1)</f>
        <v/>
      </c>
    </row>
    <row r="1041" spans="1:4" hidden="1" x14ac:dyDescent="0.25">
      <c r="A1041" s="1">
        <v>45672</v>
      </c>
      <c r="B1041" s="2">
        <v>617.12</v>
      </c>
      <c r="C1041" t="str">
        <f t="shared" si="16"/>
        <v/>
      </c>
      <c r="D1041" s="5" t="str" cm="1">
        <f t="array" ref="D1041">IF(C1041="","",C1041/LOOKUP(2,1/($C$1:C1040&lt;&gt;""),$C$1:C1040)-1)</f>
        <v/>
      </c>
    </row>
    <row r="1042" spans="1:4" hidden="1" x14ac:dyDescent="0.25">
      <c r="A1042" s="1">
        <v>45673</v>
      </c>
      <c r="B1042" s="2">
        <v>611.29999999999995</v>
      </c>
      <c r="C1042" t="str">
        <f t="shared" si="16"/>
        <v/>
      </c>
      <c r="D1042" s="5" t="str" cm="1">
        <f t="array" ref="D1042">IF(C1042="","",C1042/LOOKUP(2,1/($C$1:C1041&lt;&gt;""),$C$1:C1041)-1)</f>
        <v/>
      </c>
    </row>
    <row r="1043" spans="1:4" x14ac:dyDescent="0.25">
      <c r="A1043" s="1">
        <v>45674</v>
      </c>
      <c r="B1043" s="2">
        <v>612.77</v>
      </c>
      <c r="C1043">
        <f t="shared" si="16"/>
        <v>612.77</v>
      </c>
      <c r="D1043" cm="1">
        <f t="array" ref="D1043">IF(C1043="","",C1043/LOOKUP(2,1/($C$1:C1042&lt;&gt;""),$C$1:C1042)-1)</f>
        <v>-5.0173740785244281E-3</v>
      </c>
    </row>
    <row r="1044" spans="1:4" hidden="1" x14ac:dyDescent="0.25">
      <c r="A1044" s="1">
        <v>45678</v>
      </c>
      <c r="B1044" s="2">
        <v>616.46</v>
      </c>
      <c r="C1044" t="str">
        <f t="shared" si="16"/>
        <v/>
      </c>
      <c r="D1044" s="5" t="str" cm="1">
        <f t="array" ref="D1044">IF(C1044="","",C1044/LOOKUP(2,1/($C$1:C1043&lt;&gt;""),$C$1:C1043)-1)</f>
        <v/>
      </c>
    </row>
    <row r="1045" spans="1:4" hidden="1" x14ac:dyDescent="0.25">
      <c r="A1045" s="1">
        <v>45679</v>
      </c>
      <c r="B1045" s="2">
        <v>623.5</v>
      </c>
      <c r="C1045" t="str">
        <f t="shared" si="16"/>
        <v/>
      </c>
      <c r="D1045" s="5" t="str" cm="1">
        <f t="array" ref="D1045">IF(C1045="","",C1045/LOOKUP(2,1/($C$1:C1044&lt;&gt;""),$C$1:C1044)-1)</f>
        <v/>
      </c>
    </row>
    <row r="1046" spans="1:4" hidden="1" x14ac:dyDescent="0.25">
      <c r="A1046" s="1">
        <v>45680</v>
      </c>
      <c r="B1046" s="2">
        <v>636.45000000000005</v>
      </c>
      <c r="C1046" t="str">
        <f t="shared" si="16"/>
        <v/>
      </c>
      <c r="D1046" s="5" t="str" cm="1">
        <f t="array" ref="D1046">IF(C1046="","",C1046/LOOKUP(2,1/($C$1:C1045&lt;&gt;""),$C$1:C1045)-1)</f>
        <v/>
      </c>
    </row>
    <row r="1047" spans="1:4" x14ac:dyDescent="0.25">
      <c r="A1047" s="1">
        <v>45681</v>
      </c>
      <c r="B1047" s="2">
        <v>647.49</v>
      </c>
      <c r="C1047">
        <f t="shared" si="16"/>
        <v>647.49</v>
      </c>
      <c r="D1047" cm="1">
        <f t="array" ref="D1047">IF(C1047="","",C1047/LOOKUP(2,1/($C$1:C1046&lt;&gt;""),$C$1:C1046)-1)</f>
        <v>5.6660737307635767E-2</v>
      </c>
    </row>
    <row r="1048" spans="1:4" hidden="1" x14ac:dyDescent="0.25">
      <c r="A1048" s="1">
        <v>45684</v>
      </c>
      <c r="B1048" s="2">
        <v>659.88</v>
      </c>
      <c r="C1048" t="str">
        <f t="shared" si="16"/>
        <v/>
      </c>
      <c r="D1048" s="5" t="str" cm="1">
        <f t="array" ref="D1048">IF(C1048="","",C1048/LOOKUP(2,1/($C$1:C1047&lt;&gt;""),$C$1:C1047)-1)</f>
        <v/>
      </c>
    </row>
    <row r="1049" spans="1:4" hidden="1" x14ac:dyDescent="0.25">
      <c r="A1049" s="1">
        <v>45685</v>
      </c>
      <c r="B1049" s="2">
        <v>674.33</v>
      </c>
      <c r="C1049" t="str">
        <f t="shared" si="16"/>
        <v/>
      </c>
      <c r="D1049" s="5" t="str" cm="1">
        <f t="array" ref="D1049">IF(C1049="","",C1049/LOOKUP(2,1/($C$1:C1048&lt;&gt;""),$C$1:C1048)-1)</f>
        <v/>
      </c>
    </row>
    <row r="1050" spans="1:4" hidden="1" x14ac:dyDescent="0.25">
      <c r="A1050" s="1">
        <v>45686</v>
      </c>
      <c r="B1050" s="2">
        <v>676.49</v>
      </c>
      <c r="C1050" t="str">
        <f t="shared" si="16"/>
        <v/>
      </c>
      <c r="D1050" s="5" t="str" cm="1">
        <f t="array" ref="D1050">IF(C1050="","",C1050/LOOKUP(2,1/($C$1:C1049&lt;&gt;""),$C$1:C1049)-1)</f>
        <v/>
      </c>
    </row>
    <row r="1051" spans="1:4" hidden="1" x14ac:dyDescent="0.25">
      <c r="A1051" s="1">
        <v>45687</v>
      </c>
      <c r="B1051" s="2">
        <v>687</v>
      </c>
      <c r="C1051" t="str">
        <f t="shared" si="16"/>
        <v/>
      </c>
      <c r="D1051" s="5" t="str" cm="1">
        <f t="array" ref="D1051">IF(C1051="","",C1051/LOOKUP(2,1/($C$1:C1050&lt;&gt;""),$C$1:C1050)-1)</f>
        <v/>
      </c>
    </row>
    <row r="1052" spans="1:4" x14ac:dyDescent="0.25">
      <c r="A1052" s="1">
        <v>45688</v>
      </c>
      <c r="B1052" s="2">
        <v>689.18</v>
      </c>
      <c r="C1052">
        <f t="shared" si="16"/>
        <v>689.18</v>
      </c>
      <c r="D1052" cm="1">
        <f t="array" ref="D1052">IF(C1052="","",C1052/LOOKUP(2,1/($C$1:C1051&lt;&gt;""),$C$1:C1051)-1)</f>
        <v>6.4387094781386489E-2</v>
      </c>
    </row>
    <row r="1053" spans="1:4" hidden="1" x14ac:dyDescent="0.25">
      <c r="A1053" s="1">
        <v>45691</v>
      </c>
      <c r="B1053" s="2">
        <v>697.46</v>
      </c>
      <c r="C1053" t="str">
        <f t="shared" si="16"/>
        <v/>
      </c>
      <c r="D1053" s="5" t="str" cm="1">
        <f t="array" ref="D1053">IF(C1053="","",C1053/LOOKUP(2,1/($C$1:C1052&lt;&gt;""),$C$1:C1052)-1)</f>
        <v/>
      </c>
    </row>
    <row r="1054" spans="1:4" hidden="1" x14ac:dyDescent="0.25">
      <c r="A1054" s="1">
        <v>45692</v>
      </c>
      <c r="B1054" s="2">
        <v>704.19</v>
      </c>
      <c r="C1054" t="str">
        <f t="shared" si="16"/>
        <v/>
      </c>
      <c r="D1054" s="5" t="str" cm="1">
        <f t="array" ref="D1054">IF(C1054="","",C1054/LOOKUP(2,1/($C$1:C1053&lt;&gt;""),$C$1:C1053)-1)</f>
        <v/>
      </c>
    </row>
    <row r="1055" spans="1:4" hidden="1" x14ac:dyDescent="0.25">
      <c r="A1055" s="1">
        <v>45693</v>
      </c>
      <c r="B1055" s="2">
        <v>704.87</v>
      </c>
      <c r="C1055" t="str">
        <f t="shared" si="16"/>
        <v/>
      </c>
      <c r="D1055" s="5" t="str" cm="1">
        <f t="array" ref="D1055">IF(C1055="","",C1055/LOOKUP(2,1/($C$1:C1054&lt;&gt;""),$C$1:C1054)-1)</f>
        <v/>
      </c>
    </row>
    <row r="1056" spans="1:4" hidden="1" x14ac:dyDescent="0.25">
      <c r="A1056" s="1">
        <v>45694</v>
      </c>
      <c r="B1056" s="2">
        <v>711.99</v>
      </c>
      <c r="C1056" t="str">
        <f t="shared" si="16"/>
        <v/>
      </c>
      <c r="D1056" s="5" t="str" cm="1">
        <f t="array" ref="D1056">IF(C1056="","",C1056/LOOKUP(2,1/($C$1:C1055&lt;&gt;""),$C$1:C1055)-1)</f>
        <v/>
      </c>
    </row>
    <row r="1057" spans="1:4" x14ac:dyDescent="0.25">
      <c r="A1057" s="1">
        <v>45695</v>
      </c>
      <c r="B1057" s="2">
        <v>714.52</v>
      </c>
      <c r="C1057">
        <f t="shared" si="16"/>
        <v>714.52</v>
      </c>
      <c r="D1057" cm="1">
        <f t="array" ref="D1057">IF(C1057="","",C1057/LOOKUP(2,1/($C$1:C1056&lt;&gt;""),$C$1:C1056)-1)</f>
        <v>3.6768333381699936E-2</v>
      </c>
    </row>
    <row r="1058" spans="1:4" hidden="1" x14ac:dyDescent="0.25">
      <c r="A1058" s="1">
        <v>45698</v>
      </c>
      <c r="B1058" s="2">
        <v>717.4</v>
      </c>
      <c r="C1058" t="str">
        <f t="shared" si="16"/>
        <v/>
      </c>
      <c r="D1058" s="5" t="str" cm="1">
        <f t="array" ref="D1058">IF(C1058="","",C1058/LOOKUP(2,1/($C$1:C1057&lt;&gt;""),$C$1:C1057)-1)</f>
        <v/>
      </c>
    </row>
    <row r="1059" spans="1:4" hidden="1" x14ac:dyDescent="0.25">
      <c r="A1059" s="1">
        <v>45699</v>
      </c>
      <c r="B1059" s="2">
        <v>719.8</v>
      </c>
      <c r="C1059" t="str">
        <f t="shared" si="16"/>
        <v/>
      </c>
      <c r="D1059" s="5" t="str" cm="1">
        <f t="array" ref="D1059">IF(C1059="","",C1059/LOOKUP(2,1/($C$1:C1058&lt;&gt;""),$C$1:C1058)-1)</f>
        <v/>
      </c>
    </row>
    <row r="1060" spans="1:4" hidden="1" x14ac:dyDescent="0.25">
      <c r="A1060" s="1">
        <v>45700</v>
      </c>
      <c r="B1060" s="2">
        <v>725.38</v>
      </c>
      <c r="C1060" t="str">
        <f t="shared" si="16"/>
        <v/>
      </c>
      <c r="D1060" s="5" t="str" cm="1">
        <f t="array" ref="D1060">IF(C1060="","",C1060/LOOKUP(2,1/($C$1:C1059&lt;&gt;""),$C$1:C1059)-1)</f>
        <v/>
      </c>
    </row>
    <row r="1061" spans="1:4" hidden="1" x14ac:dyDescent="0.25">
      <c r="A1061" s="1">
        <v>45701</v>
      </c>
      <c r="B1061" s="2">
        <v>728.56</v>
      </c>
      <c r="C1061" t="str">
        <f t="shared" si="16"/>
        <v/>
      </c>
      <c r="D1061" s="5" t="str" cm="1">
        <f t="array" ref="D1061">IF(C1061="","",C1061/LOOKUP(2,1/($C$1:C1060&lt;&gt;""),$C$1:C1060)-1)</f>
        <v/>
      </c>
    </row>
    <row r="1062" spans="1:4" x14ac:dyDescent="0.25">
      <c r="A1062" s="1">
        <v>45702</v>
      </c>
      <c r="B1062" s="2">
        <v>736.67</v>
      </c>
      <c r="C1062">
        <f t="shared" si="16"/>
        <v>736.67</v>
      </c>
      <c r="D1062" cm="1">
        <f t="array" ref="D1062">IF(C1062="","",C1062/LOOKUP(2,1/($C$1:C1061&lt;&gt;""),$C$1:C1061)-1)</f>
        <v>3.0999832055085941E-2</v>
      </c>
    </row>
    <row r="1063" spans="1:4" hidden="1" x14ac:dyDescent="0.25">
      <c r="A1063" s="1">
        <v>45706</v>
      </c>
      <c r="B1063" s="2">
        <v>716.37</v>
      </c>
      <c r="C1063" t="str">
        <f t="shared" si="16"/>
        <v/>
      </c>
      <c r="D1063" s="5" t="str" cm="1">
        <f t="array" ref="D1063">IF(C1063="","",C1063/LOOKUP(2,1/($C$1:C1062&lt;&gt;""),$C$1:C1062)-1)</f>
        <v/>
      </c>
    </row>
    <row r="1064" spans="1:4" hidden="1" x14ac:dyDescent="0.25">
      <c r="A1064" s="1">
        <v>45707</v>
      </c>
      <c r="B1064" s="2">
        <v>703.77</v>
      </c>
      <c r="C1064" t="str">
        <f t="shared" si="16"/>
        <v/>
      </c>
      <c r="D1064" s="5" t="str" cm="1">
        <f t="array" ref="D1064">IF(C1064="","",C1064/LOOKUP(2,1/($C$1:C1063&lt;&gt;""),$C$1:C1063)-1)</f>
        <v/>
      </c>
    </row>
    <row r="1065" spans="1:4" hidden="1" x14ac:dyDescent="0.25">
      <c r="A1065" s="1">
        <v>45708</v>
      </c>
      <c r="B1065" s="2">
        <v>694.84</v>
      </c>
      <c r="C1065" t="str">
        <f t="shared" si="16"/>
        <v/>
      </c>
      <c r="D1065" s="5" t="str" cm="1">
        <f t="array" ref="D1065">IF(C1065="","",C1065/LOOKUP(2,1/($C$1:C1064&lt;&gt;""),$C$1:C1064)-1)</f>
        <v/>
      </c>
    </row>
    <row r="1066" spans="1:4" x14ac:dyDescent="0.25">
      <c r="A1066" s="1">
        <v>45709</v>
      </c>
      <c r="B1066" s="2">
        <v>683.55</v>
      </c>
      <c r="C1066">
        <f t="shared" si="16"/>
        <v>683.55</v>
      </c>
      <c r="D1066" cm="1">
        <f t="array" ref="D1066">IF(C1066="","",C1066/LOOKUP(2,1/($C$1:C1065&lt;&gt;""),$C$1:C1065)-1)</f>
        <v>-7.2108271003298641E-2</v>
      </c>
    </row>
    <row r="1067" spans="1:4" hidden="1" x14ac:dyDescent="0.25">
      <c r="A1067" s="1">
        <v>45712</v>
      </c>
      <c r="B1067" s="2">
        <v>668.13</v>
      </c>
      <c r="C1067" t="str">
        <f t="shared" si="16"/>
        <v/>
      </c>
      <c r="D1067" s="5" t="str" cm="1">
        <f t="array" ref="D1067">IF(C1067="","",C1067/LOOKUP(2,1/($C$1:C1066&lt;&gt;""),$C$1:C1066)-1)</f>
        <v/>
      </c>
    </row>
    <row r="1068" spans="1:4" hidden="1" x14ac:dyDescent="0.25">
      <c r="A1068" s="1">
        <v>45713</v>
      </c>
      <c r="B1068" s="2">
        <v>657.5</v>
      </c>
      <c r="C1068" t="str">
        <f t="shared" si="16"/>
        <v/>
      </c>
      <c r="D1068" s="5" t="str" cm="1">
        <f t="array" ref="D1068">IF(C1068="","",C1068/LOOKUP(2,1/($C$1:C1067&lt;&gt;""),$C$1:C1067)-1)</f>
        <v/>
      </c>
    </row>
    <row r="1069" spans="1:4" hidden="1" x14ac:dyDescent="0.25">
      <c r="A1069" s="1">
        <v>45714</v>
      </c>
      <c r="B1069" s="2">
        <v>673.7</v>
      </c>
      <c r="C1069" t="str">
        <f t="shared" si="16"/>
        <v/>
      </c>
      <c r="D1069" s="5" t="str" cm="1">
        <f t="array" ref="D1069">IF(C1069="","",C1069/LOOKUP(2,1/($C$1:C1068&lt;&gt;""),$C$1:C1068)-1)</f>
        <v/>
      </c>
    </row>
    <row r="1070" spans="1:4" hidden="1" x14ac:dyDescent="0.25">
      <c r="A1070" s="1">
        <v>45715</v>
      </c>
      <c r="B1070" s="2">
        <v>658.24</v>
      </c>
      <c r="C1070" t="str">
        <f t="shared" si="16"/>
        <v/>
      </c>
      <c r="D1070" s="5" t="str" cm="1">
        <f t="array" ref="D1070">IF(C1070="","",C1070/LOOKUP(2,1/($C$1:C1069&lt;&gt;""),$C$1:C1069)-1)</f>
        <v/>
      </c>
    </row>
    <row r="1071" spans="1:4" x14ac:dyDescent="0.25">
      <c r="A1071" s="1">
        <v>45716</v>
      </c>
      <c r="B1071" s="2">
        <v>668.2</v>
      </c>
      <c r="C1071">
        <f t="shared" si="16"/>
        <v>668.2</v>
      </c>
      <c r="D1071" cm="1">
        <f t="array" ref="D1071">IF(C1071="","",C1071/LOOKUP(2,1/($C$1:C1070&lt;&gt;""),$C$1:C1070)-1)</f>
        <v>-2.2456294345695182E-2</v>
      </c>
    </row>
    <row r="1072" spans="1:4" hidden="1" x14ac:dyDescent="0.25">
      <c r="A1072" s="1">
        <v>45719</v>
      </c>
      <c r="B1072" s="2">
        <v>655.04999999999995</v>
      </c>
      <c r="C1072" t="str">
        <f t="shared" si="16"/>
        <v/>
      </c>
      <c r="D1072" s="5" t="str" cm="1">
        <f t="array" ref="D1072">IF(C1072="","",C1072/LOOKUP(2,1/($C$1:C1071&lt;&gt;""),$C$1:C1071)-1)</f>
        <v/>
      </c>
    </row>
    <row r="1073" spans="1:4" hidden="1" x14ac:dyDescent="0.25">
      <c r="A1073" s="1">
        <v>45720</v>
      </c>
      <c r="B1073" s="2">
        <v>640</v>
      </c>
      <c r="C1073" t="str">
        <f t="shared" si="16"/>
        <v/>
      </c>
      <c r="D1073" s="5" t="str" cm="1">
        <f t="array" ref="D1073">IF(C1073="","",C1073/LOOKUP(2,1/($C$1:C1072&lt;&gt;""),$C$1:C1072)-1)</f>
        <v/>
      </c>
    </row>
    <row r="1074" spans="1:4" hidden="1" x14ac:dyDescent="0.25">
      <c r="A1074" s="1">
        <v>45721</v>
      </c>
      <c r="B1074" s="2">
        <v>656.47</v>
      </c>
      <c r="C1074" t="str">
        <f t="shared" si="16"/>
        <v/>
      </c>
      <c r="D1074" s="5" t="str" cm="1">
        <f t="array" ref="D1074">IF(C1074="","",C1074/LOOKUP(2,1/($C$1:C1073&lt;&gt;""),$C$1:C1073)-1)</f>
        <v/>
      </c>
    </row>
    <row r="1075" spans="1:4" hidden="1" x14ac:dyDescent="0.25">
      <c r="A1075" s="1">
        <v>45722</v>
      </c>
      <c r="B1075" s="2">
        <v>627.92999999999995</v>
      </c>
      <c r="C1075" t="str">
        <f t="shared" si="16"/>
        <v/>
      </c>
      <c r="D1075" s="5" t="str" cm="1">
        <f t="array" ref="D1075">IF(C1075="","",C1075/LOOKUP(2,1/($C$1:C1074&lt;&gt;""),$C$1:C1074)-1)</f>
        <v/>
      </c>
    </row>
    <row r="1076" spans="1:4" x14ac:dyDescent="0.25">
      <c r="A1076" s="1">
        <v>45723</v>
      </c>
      <c r="B1076" s="2">
        <v>625.66</v>
      </c>
      <c r="C1076">
        <f t="shared" si="16"/>
        <v>625.66</v>
      </c>
      <c r="D1076" cm="1">
        <f t="array" ref="D1076">IF(C1076="","",C1076/LOOKUP(2,1/($C$1:C1075&lt;&gt;""),$C$1:C1075)-1)</f>
        <v>-6.3663573780305405E-2</v>
      </c>
    </row>
    <row r="1077" spans="1:4" hidden="1" x14ac:dyDescent="0.25">
      <c r="A1077" s="1">
        <v>45726</v>
      </c>
      <c r="B1077" s="2">
        <v>597.99</v>
      </c>
      <c r="C1077" t="str">
        <f t="shared" si="16"/>
        <v/>
      </c>
      <c r="D1077" s="5" t="str" cm="1">
        <f t="array" ref="D1077">IF(C1077="","",C1077/LOOKUP(2,1/($C$1:C1076&lt;&gt;""),$C$1:C1076)-1)</f>
        <v/>
      </c>
    </row>
    <row r="1078" spans="1:4" hidden="1" x14ac:dyDescent="0.25">
      <c r="A1078" s="1">
        <v>45727</v>
      </c>
      <c r="B1078" s="2">
        <v>605.71</v>
      </c>
      <c r="C1078" t="str">
        <f t="shared" si="16"/>
        <v/>
      </c>
      <c r="D1078" s="5" t="str" cm="1">
        <f t="array" ref="D1078">IF(C1078="","",C1078/LOOKUP(2,1/($C$1:C1077&lt;&gt;""),$C$1:C1077)-1)</f>
        <v/>
      </c>
    </row>
    <row r="1079" spans="1:4" hidden="1" x14ac:dyDescent="0.25">
      <c r="A1079" s="1">
        <v>45728</v>
      </c>
      <c r="B1079" s="2">
        <v>619.55999999999995</v>
      </c>
      <c r="C1079" t="str">
        <f t="shared" si="16"/>
        <v/>
      </c>
      <c r="D1079" s="5" t="str" cm="1">
        <f t="array" ref="D1079">IF(C1079="","",C1079/LOOKUP(2,1/($C$1:C1078&lt;&gt;""),$C$1:C1078)-1)</f>
        <v/>
      </c>
    </row>
    <row r="1080" spans="1:4" hidden="1" x14ac:dyDescent="0.25">
      <c r="A1080" s="1">
        <v>45729</v>
      </c>
      <c r="B1080" s="2">
        <v>590.64</v>
      </c>
      <c r="C1080" t="str">
        <f t="shared" si="16"/>
        <v/>
      </c>
      <c r="D1080" s="5" t="str" cm="1">
        <f t="array" ref="D1080">IF(C1080="","",C1080/LOOKUP(2,1/($C$1:C1079&lt;&gt;""),$C$1:C1079)-1)</f>
        <v/>
      </c>
    </row>
    <row r="1081" spans="1:4" x14ac:dyDescent="0.25">
      <c r="A1081" s="1">
        <v>45730</v>
      </c>
      <c r="B1081" s="2">
        <v>607.6</v>
      </c>
      <c r="C1081">
        <f t="shared" si="16"/>
        <v>607.6</v>
      </c>
      <c r="D1081" cm="1">
        <f t="array" ref="D1081">IF(C1081="","",C1081/LOOKUP(2,1/($C$1:C1080&lt;&gt;""),$C$1:C1080)-1)</f>
        <v>-2.8865518012978209E-2</v>
      </c>
    </row>
    <row r="1082" spans="1:4" hidden="1" x14ac:dyDescent="0.25">
      <c r="A1082" s="1">
        <v>45733</v>
      </c>
      <c r="B1082" s="2">
        <v>604.9</v>
      </c>
      <c r="C1082" t="str">
        <f t="shared" si="16"/>
        <v/>
      </c>
      <c r="D1082" s="5" t="str" cm="1">
        <f t="array" ref="D1082">IF(C1082="","",C1082/LOOKUP(2,1/($C$1:C1081&lt;&gt;""),$C$1:C1081)-1)</f>
        <v/>
      </c>
    </row>
    <row r="1083" spans="1:4" hidden="1" x14ac:dyDescent="0.25">
      <c r="A1083" s="1">
        <v>45734</v>
      </c>
      <c r="B1083" s="2">
        <v>582.36</v>
      </c>
      <c r="C1083" t="str">
        <f t="shared" si="16"/>
        <v/>
      </c>
      <c r="D1083" s="5" t="str" cm="1">
        <f t="array" ref="D1083">IF(C1083="","",C1083/LOOKUP(2,1/($C$1:C1082&lt;&gt;""),$C$1:C1082)-1)</f>
        <v/>
      </c>
    </row>
    <row r="1084" spans="1:4" hidden="1" x14ac:dyDescent="0.25">
      <c r="A1084" s="1">
        <v>45735</v>
      </c>
      <c r="B1084" s="2">
        <v>584.05999999999995</v>
      </c>
      <c r="C1084" t="str">
        <f t="shared" si="16"/>
        <v/>
      </c>
      <c r="D1084" s="5" t="str" cm="1">
        <f t="array" ref="D1084">IF(C1084="","",C1084/LOOKUP(2,1/($C$1:C1083&lt;&gt;""),$C$1:C1083)-1)</f>
        <v/>
      </c>
    </row>
    <row r="1085" spans="1:4" hidden="1" x14ac:dyDescent="0.25">
      <c r="A1085" s="1">
        <v>45736</v>
      </c>
      <c r="B1085" s="2">
        <v>586</v>
      </c>
      <c r="C1085" t="str">
        <f t="shared" si="16"/>
        <v/>
      </c>
      <c r="D1085" s="5" t="str" cm="1">
        <f t="array" ref="D1085">IF(C1085="","",C1085/LOOKUP(2,1/($C$1:C1084&lt;&gt;""),$C$1:C1084)-1)</f>
        <v/>
      </c>
    </row>
    <row r="1086" spans="1:4" x14ac:dyDescent="0.25">
      <c r="A1086" s="1">
        <v>45737</v>
      </c>
      <c r="B1086" s="2">
        <v>596.25</v>
      </c>
      <c r="C1086">
        <f t="shared" si="16"/>
        <v>596.25</v>
      </c>
      <c r="D1086" cm="1">
        <f t="array" ref="D1086">IF(C1086="","",C1086/LOOKUP(2,1/($C$1:C1085&lt;&gt;""),$C$1:C1085)-1)</f>
        <v>-1.8680052666227853E-2</v>
      </c>
    </row>
    <row r="1087" spans="1:4" hidden="1" x14ac:dyDescent="0.25">
      <c r="A1087" s="1">
        <v>45740</v>
      </c>
      <c r="B1087" s="2">
        <v>618.85</v>
      </c>
      <c r="C1087" t="str">
        <f t="shared" si="16"/>
        <v/>
      </c>
      <c r="D1087" s="5" t="str" cm="1">
        <f t="array" ref="D1087">IF(C1087="","",C1087/LOOKUP(2,1/($C$1:C1086&lt;&gt;""),$C$1:C1086)-1)</f>
        <v/>
      </c>
    </row>
    <row r="1088" spans="1:4" hidden="1" x14ac:dyDescent="0.25">
      <c r="A1088" s="1">
        <v>45741</v>
      </c>
      <c r="B1088" s="2">
        <v>626.30999999999995</v>
      </c>
      <c r="C1088" t="str">
        <f t="shared" si="16"/>
        <v/>
      </c>
      <c r="D1088" s="5" t="str" cm="1">
        <f t="array" ref="D1088">IF(C1088="","",C1088/LOOKUP(2,1/($C$1:C1087&lt;&gt;""),$C$1:C1087)-1)</f>
        <v/>
      </c>
    </row>
    <row r="1089" spans="1:4" hidden="1" x14ac:dyDescent="0.25">
      <c r="A1089" s="1">
        <v>45742</v>
      </c>
      <c r="B1089" s="2">
        <v>610.98</v>
      </c>
      <c r="C1089" t="str">
        <f t="shared" si="16"/>
        <v/>
      </c>
      <c r="D1089" s="5" t="str" cm="1">
        <f t="array" ref="D1089">IF(C1089="","",C1089/LOOKUP(2,1/($C$1:C1088&lt;&gt;""),$C$1:C1088)-1)</f>
        <v/>
      </c>
    </row>
    <row r="1090" spans="1:4" hidden="1" x14ac:dyDescent="0.25">
      <c r="A1090" s="1">
        <v>45743</v>
      </c>
      <c r="B1090" s="2">
        <v>602.58000000000004</v>
      </c>
      <c r="C1090" t="str">
        <f t="shared" si="16"/>
        <v/>
      </c>
      <c r="D1090" s="5" t="str" cm="1">
        <f t="array" ref="D1090">IF(C1090="","",C1090/LOOKUP(2,1/($C$1:C1089&lt;&gt;""),$C$1:C1089)-1)</f>
        <v/>
      </c>
    </row>
    <row r="1091" spans="1:4" x14ac:dyDescent="0.25">
      <c r="A1091" s="1">
        <v>45744</v>
      </c>
      <c r="B1091" s="2">
        <v>576.74</v>
      </c>
      <c r="C1091">
        <f t="shared" ref="C1091:C1154" si="17">IF(WEEKNUM(A1091)&lt;&gt;WEEKNUM(A1092),B1091,"")</f>
        <v>576.74</v>
      </c>
      <c r="D1091" cm="1">
        <f t="array" ref="D1091">IF(C1091="","",C1091/LOOKUP(2,1/($C$1:C1090&lt;&gt;""),$C$1:C1090)-1)</f>
        <v>-3.2721174004192832E-2</v>
      </c>
    </row>
    <row r="1092" spans="1:4" hidden="1" x14ac:dyDescent="0.25">
      <c r="A1092" s="1">
        <v>45747</v>
      </c>
      <c r="B1092" s="2">
        <v>576.36</v>
      </c>
      <c r="C1092" t="str">
        <f t="shared" si="17"/>
        <v/>
      </c>
      <c r="D1092" s="5" t="str" cm="1">
        <f t="array" ref="D1092">IF(C1092="","",C1092/LOOKUP(2,1/($C$1:C1091&lt;&gt;""),$C$1:C1091)-1)</f>
        <v/>
      </c>
    </row>
    <row r="1093" spans="1:4" hidden="1" x14ac:dyDescent="0.25">
      <c r="A1093" s="1">
        <v>45748</v>
      </c>
      <c r="B1093" s="2">
        <v>586</v>
      </c>
      <c r="C1093" t="str">
        <f t="shared" si="17"/>
        <v/>
      </c>
      <c r="D1093" s="5" t="str" cm="1">
        <f t="array" ref="D1093">IF(C1093="","",C1093/LOOKUP(2,1/($C$1:C1092&lt;&gt;""),$C$1:C1092)-1)</f>
        <v/>
      </c>
    </row>
    <row r="1094" spans="1:4" hidden="1" x14ac:dyDescent="0.25">
      <c r="A1094" s="1">
        <v>45749</v>
      </c>
      <c r="B1094" s="2">
        <v>583.92999999999995</v>
      </c>
      <c r="C1094" t="str">
        <f t="shared" si="17"/>
        <v/>
      </c>
      <c r="D1094" s="5" t="str" cm="1">
        <f t="array" ref="D1094">IF(C1094="","",C1094/LOOKUP(2,1/($C$1:C1093&lt;&gt;""),$C$1:C1093)-1)</f>
        <v/>
      </c>
    </row>
    <row r="1095" spans="1:4" hidden="1" x14ac:dyDescent="0.25">
      <c r="A1095" s="1">
        <v>45750</v>
      </c>
      <c r="B1095" s="2">
        <v>531.62</v>
      </c>
      <c r="C1095" t="str">
        <f t="shared" si="17"/>
        <v/>
      </c>
      <c r="D1095" s="5" t="str" cm="1">
        <f t="array" ref="D1095">IF(C1095="","",C1095/LOOKUP(2,1/($C$1:C1094&lt;&gt;""),$C$1:C1094)-1)</f>
        <v/>
      </c>
    </row>
    <row r="1096" spans="1:4" x14ac:dyDescent="0.25">
      <c r="A1096" s="1">
        <v>45751</v>
      </c>
      <c r="B1096" s="2">
        <v>504.73</v>
      </c>
      <c r="C1096">
        <f t="shared" si="17"/>
        <v>504.73</v>
      </c>
      <c r="D1096" cm="1">
        <f t="array" ref="D1096">IF(C1096="","",C1096/LOOKUP(2,1/($C$1:C1095&lt;&gt;""),$C$1:C1095)-1)</f>
        <v>-0.12485695460692858</v>
      </c>
    </row>
    <row r="1097" spans="1:4" hidden="1" x14ac:dyDescent="0.25">
      <c r="A1097" s="1">
        <v>45754</v>
      </c>
      <c r="B1097" s="2">
        <v>516.25</v>
      </c>
      <c r="C1097" t="str">
        <f t="shared" si="17"/>
        <v/>
      </c>
      <c r="D1097" s="5" t="str" cm="1">
        <f t="array" ref="D1097">IF(C1097="","",C1097/LOOKUP(2,1/($C$1:C1096&lt;&gt;""),$C$1:C1096)-1)</f>
        <v/>
      </c>
    </row>
    <row r="1098" spans="1:4" hidden="1" x14ac:dyDescent="0.25">
      <c r="A1098" s="1">
        <v>45755</v>
      </c>
      <c r="B1098" s="2">
        <v>510.45</v>
      </c>
      <c r="C1098" t="str">
        <f t="shared" si="17"/>
        <v/>
      </c>
      <c r="D1098" s="5" t="str" cm="1">
        <f t="array" ref="D1098">IF(C1098="","",C1098/LOOKUP(2,1/($C$1:C1097&lt;&gt;""),$C$1:C1097)-1)</f>
        <v/>
      </c>
    </row>
    <row r="1099" spans="1:4" hidden="1" x14ac:dyDescent="0.25">
      <c r="A1099" s="1">
        <v>45756</v>
      </c>
      <c r="B1099" s="2">
        <v>585.77</v>
      </c>
      <c r="C1099" t="str">
        <f t="shared" si="17"/>
        <v/>
      </c>
      <c r="D1099" s="5" t="str" cm="1">
        <f t="array" ref="D1099">IF(C1099="","",C1099/LOOKUP(2,1/($C$1:C1098&lt;&gt;""),$C$1:C1098)-1)</f>
        <v/>
      </c>
    </row>
    <row r="1100" spans="1:4" hidden="1" x14ac:dyDescent="0.25">
      <c r="A1100" s="1">
        <v>45757</v>
      </c>
      <c r="B1100" s="2">
        <v>546.29</v>
      </c>
      <c r="C1100" t="str">
        <f t="shared" si="17"/>
        <v/>
      </c>
      <c r="D1100" s="5" t="str" cm="1">
        <f t="array" ref="D1100">IF(C1100="","",C1100/LOOKUP(2,1/($C$1:C1099&lt;&gt;""),$C$1:C1099)-1)</f>
        <v/>
      </c>
    </row>
    <row r="1101" spans="1:4" x14ac:dyDescent="0.25">
      <c r="A1101" s="1">
        <v>45758</v>
      </c>
      <c r="B1101" s="2">
        <v>543.57000000000005</v>
      </c>
      <c r="C1101">
        <f t="shared" si="17"/>
        <v>543.57000000000005</v>
      </c>
      <c r="D1101" cm="1">
        <f t="array" ref="D1101">IF(C1101="","",C1101/LOOKUP(2,1/($C$1:C1100&lt;&gt;""),$C$1:C1100)-1)</f>
        <v>7.695203376062465E-2</v>
      </c>
    </row>
    <row r="1102" spans="1:4" hidden="1" x14ac:dyDescent="0.25">
      <c r="A1102" s="1">
        <v>45761</v>
      </c>
      <c r="B1102" s="2">
        <v>531.48</v>
      </c>
      <c r="C1102" t="str">
        <f t="shared" si="17"/>
        <v/>
      </c>
      <c r="D1102" s="5" t="str" cm="1">
        <f t="array" ref="D1102">IF(C1102="","",C1102/LOOKUP(2,1/($C$1:C1101&lt;&gt;""),$C$1:C1101)-1)</f>
        <v/>
      </c>
    </row>
    <row r="1103" spans="1:4" hidden="1" x14ac:dyDescent="0.25">
      <c r="A1103" s="1">
        <v>45762</v>
      </c>
      <c r="B1103" s="2">
        <v>521.52</v>
      </c>
      <c r="C1103" t="str">
        <f t="shared" si="17"/>
        <v/>
      </c>
      <c r="D1103" s="5" t="str" cm="1">
        <f t="array" ref="D1103">IF(C1103="","",C1103/LOOKUP(2,1/($C$1:C1102&lt;&gt;""),$C$1:C1102)-1)</f>
        <v/>
      </c>
    </row>
    <row r="1104" spans="1:4" hidden="1" x14ac:dyDescent="0.25">
      <c r="A1104" s="1">
        <v>45763</v>
      </c>
      <c r="B1104" s="2">
        <v>502.31</v>
      </c>
      <c r="C1104" t="str">
        <f t="shared" si="17"/>
        <v/>
      </c>
      <c r="D1104" s="5" t="str" cm="1">
        <f t="array" ref="D1104">IF(C1104="","",C1104/LOOKUP(2,1/($C$1:C1103&lt;&gt;""),$C$1:C1103)-1)</f>
        <v/>
      </c>
    </row>
    <row r="1105" spans="1:4" x14ac:dyDescent="0.25">
      <c r="A1105" s="1">
        <v>45764</v>
      </c>
      <c r="B1105" s="2">
        <v>501.48</v>
      </c>
      <c r="C1105">
        <f t="shared" si="17"/>
        <v>501.48</v>
      </c>
      <c r="D1105" cm="1">
        <f t="array" ref="D1105">IF(C1105="","",C1105/LOOKUP(2,1/($C$1:C1104&lt;&gt;""),$C$1:C1104)-1)</f>
        <v>-7.7432529389039217E-2</v>
      </c>
    </row>
    <row r="1106" spans="1:4" hidden="1" x14ac:dyDescent="0.25">
      <c r="A1106" s="1">
        <v>45768</v>
      </c>
      <c r="B1106" s="2">
        <v>484.66</v>
      </c>
      <c r="C1106" t="str">
        <f t="shared" si="17"/>
        <v/>
      </c>
      <c r="D1106" s="5" t="str" cm="1">
        <f t="array" ref="D1106">IF(C1106="","",C1106/LOOKUP(2,1/($C$1:C1105&lt;&gt;""),$C$1:C1105)-1)</f>
        <v/>
      </c>
    </row>
    <row r="1107" spans="1:4" hidden="1" x14ac:dyDescent="0.25">
      <c r="A1107" s="1">
        <v>45769</v>
      </c>
      <c r="B1107" s="2">
        <v>500.28</v>
      </c>
      <c r="C1107" t="str">
        <f t="shared" si="17"/>
        <v/>
      </c>
      <c r="D1107" s="5" t="str" cm="1">
        <f t="array" ref="D1107">IF(C1107="","",C1107/LOOKUP(2,1/($C$1:C1106&lt;&gt;""),$C$1:C1106)-1)</f>
        <v/>
      </c>
    </row>
    <row r="1108" spans="1:4" hidden="1" x14ac:dyDescent="0.25">
      <c r="A1108" s="1">
        <v>45770</v>
      </c>
      <c r="B1108" s="2">
        <v>520.27</v>
      </c>
      <c r="C1108" t="str">
        <f t="shared" si="17"/>
        <v/>
      </c>
      <c r="D1108" s="5" t="str" cm="1">
        <f t="array" ref="D1108">IF(C1108="","",C1108/LOOKUP(2,1/($C$1:C1107&lt;&gt;""),$C$1:C1107)-1)</f>
        <v/>
      </c>
    </row>
    <row r="1109" spans="1:4" hidden="1" x14ac:dyDescent="0.25">
      <c r="A1109" s="1">
        <v>45771</v>
      </c>
      <c r="B1109" s="2">
        <v>533.15</v>
      </c>
      <c r="C1109" t="str">
        <f t="shared" si="17"/>
        <v/>
      </c>
      <c r="D1109" s="5" t="str" cm="1">
        <f t="array" ref="D1109">IF(C1109="","",C1109/LOOKUP(2,1/($C$1:C1108&lt;&gt;""),$C$1:C1108)-1)</f>
        <v/>
      </c>
    </row>
    <row r="1110" spans="1:4" x14ac:dyDescent="0.25">
      <c r="A1110" s="1">
        <v>45772</v>
      </c>
      <c r="B1110" s="2">
        <v>547.27</v>
      </c>
      <c r="C1110">
        <f t="shared" si="17"/>
        <v>547.27</v>
      </c>
      <c r="D1110" cm="1">
        <f t="array" ref="D1110">IF(C1110="","",C1110/LOOKUP(2,1/($C$1:C1109&lt;&gt;""),$C$1:C1109)-1)</f>
        <v>9.1309723219270778E-2</v>
      </c>
    </row>
    <row r="1111" spans="1:4" hidden="1" x14ac:dyDescent="0.25">
      <c r="A1111" s="1">
        <v>45775</v>
      </c>
      <c r="B1111" s="2">
        <v>549.74</v>
      </c>
      <c r="C1111" t="str">
        <f t="shared" si="17"/>
        <v/>
      </c>
      <c r="D1111" s="5" t="str" cm="1">
        <f t="array" ref="D1111">IF(C1111="","",C1111/LOOKUP(2,1/($C$1:C1110&lt;&gt;""),$C$1:C1110)-1)</f>
        <v/>
      </c>
    </row>
    <row r="1112" spans="1:4" hidden="1" x14ac:dyDescent="0.25">
      <c r="A1112" s="1">
        <v>45776</v>
      </c>
      <c r="B1112" s="2">
        <v>554.44000000000005</v>
      </c>
      <c r="C1112" t="str">
        <f t="shared" si="17"/>
        <v/>
      </c>
      <c r="D1112" s="5" t="str" cm="1">
        <f t="array" ref="D1112">IF(C1112="","",C1112/LOOKUP(2,1/($C$1:C1111&lt;&gt;""),$C$1:C1111)-1)</f>
        <v/>
      </c>
    </row>
    <row r="1113" spans="1:4" hidden="1" x14ac:dyDescent="0.25">
      <c r="A1113" s="1">
        <v>45777</v>
      </c>
      <c r="B1113" s="2">
        <v>549</v>
      </c>
      <c r="C1113" t="str">
        <f t="shared" si="17"/>
        <v/>
      </c>
      <c r="D1113" s="5" t="str" cm="1">
        <f t="array" ref="D1113">IF(C1113="","",C1113/LOOKUP(2,1/($C$1:C1112&lt;&gt;""),$C$1:C1112)-1)</f>
        <v/>
      </c>
    </row>
    <row r="1114" spans="1:4" hidden="1" x14ac:dyDescent="0.25">
      <c r="A1114" s="1">
        <v>45778</v>
      </c>
      <c r="B1114" s="2">
        <v>572.21</v>
      </c>
      <c r="C1114" t="str">
        <f t="shared" si="17"/>
        <v/>
      </c>
      <c r="D1114" s="5" t="str" cm="1">
        <f t="array" ref="D1114">IF(C1114="","",C1114/LOOKUP(2,1/($C$1:C1113&lt;&gt;""),$C$1:C1113)-1)</f>
        <v/>
      </c>
    </row>
    <row r="1115" spans="1:4" x14ac:dyDescent="0.25">
      <c r="A1115" s="1">
        <v>45779</v>
      </c>
      <c r="B1115" s="2">
        <v>597.02</v>
      </c>
      <c r="C1115">
        <f t="shared" si="17"/>
        <v>597.02</v>
      </c>
      <c r="D1115" cm="1">
        <f t="array" ref="D1115">IF(C1115="","",C1115/LOOKUP(2,1/($C$1:C1114&lt;&gt;""),$C$1:C1114)-1)</f>
        <v>9.0905768633398498E-2</v>
      </c>
    </row>
    <row r="1116" spans="1:4" hidden="1" x14ac:dyDescent="0.25">
      <c r="A1116" s="1">
        <v>45782</v>
      </c>
      <c r="B1116" s="2">
        <v>599.27</v>
      </c>
      <c r="C1116" t="str">
        <f t="shared" si="17"/>
        <v/>
      </c>
      <c r="D1116" s="5" t="str" cm="1">
        <f t="array" ref="D1116">IF(C1116="","",C1116/LOOKUP(2,1/($C$1:C1115&lt;&gt;""),$C$1:C1115)-1)</f>
        <v/>
      </c>
    </row>
    <row r="1117" spans="1:4" hidden="1" x14ac:dyDescent="0.25">
      <c r="A1117" s="1">
        <v>45783</v>
      </c>
      <c r="B1117" s="2">
        <v>587.30999999999995</v>
      </c>
      <c r="C1117" t="str">
        <f t="shared" si="17"/>
        <v/>
      </c>
      <c r="D1117" s="5" t="str" cm="1">
        <f t="array" ref="D1117">IF(C1117="","",C1117/LOOKUP(2,1/($C$1:C1116&lt;&gt;""),$C$1:C1116)-1)</f>
        <v/>
      </c>
    </row>
    <row r="1118" spans="1:4" hidden="1" x14ac:dyDescent="0.25">
      <c r="A1118" s="1">
        <v>45784</v>
      </c>
      <c r="B1118" s="2">
        <v>596.80999999999995</v>
      </c>
      <c r="C1118" t="str">
        <f t="shared" si="17"/>
        <v/>
      </c>
      <c r="D1118" s="5" t="str" cm="1">
        <f t="array" ref="D1118">IF(C1118="","",C1118/LOOKUP(2,1/($C$1:C1117&lt;&gt;""),$C$1:C1117)-1)</f>
        <v/>
      </c>
    </row>
    <row r="1119" spans="1:4" hidden="1" x14ac:dyDescent="0.25">
      <c r="A1119" s="1">
        <v>45785</v>
      </c>
      <c r="B1119" s="2">
        <v>598.01</v>
      </c>
      <c r="C1119" t="str">
        <f t="shared" si="17"/>
        <v/>
      </c>
      <c r="D1119" s="5" t="str" cm="1">
        <f t="array" ref="D1119">IF(C1119="","",C1119/LOOKUP(2,1/($C$1:C1118&lt;&gt;""),$C$1:C1118)-1)</f>
        <v/>
      </c>
    </row>
    <row r="1120" spans="1:4" x14ac:dyDescent="0.25">
      <c r="A1120" s="1">
        <v>45786</v>
      </c>
      <c r="B1120" s="2">
        <v>592.49</v>
      </c>
      <c r="C1120">
        <f t="shared" si="17"/>
        <v>592.49</v>
      </c>
      <c r="D1120" cm="1">
        <f t="array" ref="D1120">IF(C1120="","",C1120/LOOKUP(2,1/($C$1:C1119&lt;&gt;""),$C$1:C1119)-1)</f>
        <v>-7.5876855046731473E-3</v>
      </c>
    </row>
    <row r="1121" spans="1:4" hidden="1" x14ac:dyDescent="0.25">
      <c r="A1121" s="1">
        <v>45789</v>
      </c>
      <c r="B1121" s="2">
        <v>639.42999999999995</v>
      </c>
      <c r="C1121" t="str">
        <f t="shared" si="17"/>
        <v/>
      </c>
      <c r="D1121" s="5" t="str" cm="1">
        <f t="array" ref="D1121">IF(C1121="","",C1121/LOOKUP(2,1/($C$1:C1120&lt;&gt;""),$C$1:C1120)-1)</f>
        <v/>
      </c>
    </row>
    <row r="1122" spans="1:4" hidden="1" x14ac:dyDescent="0.25">
      <c r="A1122" s="1">
        <v>45790</v>
      </c>
      <c r="B1122" s="2">
        <v>656.03</v>
      </c>
      <c r="C1122" t="str">
        <f t="shared" si="17"/>
        <v/>
      </c>
      <c r="D1122" s="5" t="str" cm="1">
        <f t="array" ref="D1122">IF(C1122="","",C1122/LOOKUP(2,1/($C$1:C1121&lt;&gt;""),$C$1:C1121)-1)</f>
        <v/>
      </c>
    </row>
    <row r="1123" spans="1:4" hidden="1" x14ac:dyDescent="0.25">
      <c r="A1123" s="1">
        <v>45791</v>
      </c>
      <c r="B1123" s="2">
        <v>659.36</v>
      </c>
      <c r="C1123" t="str">
        <f t="shared" si="17"/>
        <v/>
      </c>
      <c r="D1123" s="5" t="str" cm="1">
        <f t="array" ref="D1123">IF(C1123="","",C1123/LOOKUP(2,1/($C$1:C1122&lt;&gt;""),$C$1:C1122)-1)</f>
        <v/>
      </c>
    </row>
    <row r="1124" spans="1:4" hidden="1" x14ac:dyDescent="0.25">
      <c r="A1124" s="1">
        <v>45792</v>
      </c>
      <c r="B1124" s="2">
        <v>643.88</v>
      </c>
      <c r="C1124" t="str">
        <f t="shared" si="17"/>
        <v/>
      </c>
      <c r="D1124" s="5" t="str" cm="1">
        <f t="array" ref="D1124">IF(C1124="","",C1124/LOOKUP(2,1/($C$1:C1123&lt;&gt;""),$C$1:C1123)-1)</f>
        <v/>
      </c>
    </row>
    <row r="1125" spans="1:4" x14ac:dyDescent="0.25">
      <c r="A1125" s="1">
        <v>45793</v>
      </c>
      <c r="B1125" s="2">
        <v>640.34</v>
      </c>
      <c r="C1125">
        <f t="shared" si="17"/>
        <v>640.34</v>
      </c>
      <c r="D1125" cm="1">
        <f t="array" ref="D1125">IF(C1125="","",C1125/LOOKUP(2,1/($C$1:C1124&lt;&gt;""),$C$1:C1124)-1)</f>
        <v>8.0760856723320229E-2</v>
      </c>
    </row>
    <row r="1126" spans="1:4" hidden="1" x14ac:dyDescent="0.25">
      <c r="A1126" s="1">
        <v>45796</v>
      </c>
      <c r="B1126" s="2">
        <v>640.42999999999995</v>
      </c>
      <c r="C1126" t="str">
        <f t="shared" si="17"/>
        <v/>
      </c>
      <c r="D1126" s="5" t="str" cm="1">
        <f t="array" ref="D1126">IF(C1126="","",C1126/LOOKUP(2,1/($C$1:C1125&lt;&gt;""),$C$1:C1125)-1)</f>
        <v/>
      </c>
    </row>
    <row r="1127" spans="1:4" hidden="1" x14ac:dyDescent="0.25">
      <c r="A1127" s="1">
        <v>45797</v>
      </c>
      <c r="B1127" s="2">
        <v>637.1</v>
      </c>
      <c r="C1127" t="str">
        <f t="shared" si="17"/>
        <v/>
      </c>
      <c r="D1127" s="5" t="str" cm="1">
        <f t="array" ref="D1127">IF(C1127="","",C1127/LOOKUP(2,1/($C$1:C1126&lt;&gt;""),$C$1:C1126)-1)</f>
        <v/>
      </c>
    </row>
    <row r="1128" spans="1:4" hidden="1" x14ac:dyDescent="0.25">
      <c r="A1128" s="1">
        <v>45798</v>
      </c>
      <c r="B1128" s="2">
        <v>635.5</v>
      </c>
      <c r="C1128" t="str">
        <f t="shared" si="17"/>
        <v/>
      </c>
      <c r="D1128" s="5" t="str" cm="1">
        <f t="array" ref="D1128">IF(C1128="","",C1128/LOOKUP(2,1/($C$1:C1127&lt;&gt;""),$C$1:C1127)-1)</f>
        <v/>
      </c>
    </row>
    <row r="1129" spans="1:4" hidden="1" x14ac:dyDescent="0.25">
      <c r="A1129" s="1">
        <v>45799</v>
      </c>
      <c r="B1129" s="2">
        <v>636.57000000000005</v>
      </c>
      <c r="C1129" t="str">
        <f t="shared" si="17"/>
        <v/>
      </c>
      <c r="D1129" s="5" t="str" cm="1">
        <f t="array" ref="D1129">IF(C1129="","",C1129/LOOKUP(2,1/($C$1:C1128&lt;&gt;""),$C$1:C1128)-1)</f>
        <v/>
      </c>
    </row>
    <row r="1130" spans="1:4" x14ac:dyDescent="0.25">
      <c r="A1130" s="1">
        <v>45800</v>
      </c>
      <c r="B1130" s="2">
        <v>627.05999999999995</v>
      </c>
      <c r="C1130">
        <f t="shared" si="17"/>
        <v>627.05999999999995</v>
      </c>
      <c r="D1130" cm="1">
        <f t="array" ref="D1130">IF(C1130="","",C1130/LOOKUP(2,1/($C$1:C1129&lt;&gt;""),$C$1:C1129)-1)</f>
        <v>-2.07389824155918E-2</v>
      </c>
    </row>
    <row r="1131" spans="1:4" hidden="1" x14ac:dyDescent="0.25">
      <c r="A1131" s="1">
        <v>45804</v>
      </c>
      <c r="B1131" s="2">
        <v>642.32000000000005</v>
      </c>
      <c r="C1131" t="str">
        <f t="shared" si="17"/>
        <v/>
      </c>
      <c r="D1131" s="5" t="str" cm="1">
        <f t="array" ref="D1131">IF(C1131="","",C1131/LOOKUP(2,1/($C$1:C1130&lt;&gt;""),$C$1:C1130)-1)</f>
        <v/>
      </c>
    </row>
    <row r="1132" spans="1:4" hidden="1" x14ac:dyDescent="0.25">
      <c r="A1132" s="1">
        <v>45805</v>
      </c>
      <c r="B1132" s="2">
        <v>643.58000000000004</v>
      </c>
      <c r="C1132" t="str">
        <f t="shared" si="17"/>
        <v/>
      </c>
      <c r="D1132" s="5" t="str" cm="1">
        <f t="array" ref="D1132">IF(C1132="","",C1132/LOOKUP(2,1/($C$1:C1131&lt;&gt;""),$C$1:C1131)-1)</f>
        <v/>
      </c>
    </row>
    <row r="1133" spans="1:4" hidden="1" x14ac:dyDescent="0.25">
      <c r="A1133" s="1">
        <v>45806</v>
      </c>
      <c r="B1133" s="2">
        <v>645.04999999999995</v>
      </c>
      <c r="C1133" t="str">
        <f t="shared" si="17"/>
        <v/>
      </c>
      <c r="D1133" s="5" t="str" cm="1">
        <f t="array" ref="D1133">IF(C1133="","",C1133/LOOKUP(2,1/($C$1:C1132&lt;&gt;""),$C$1:C1132)-1)</f>
        <v/>
      </c>
    </row>
    <row r="1134" spans="1:4" x14ac:dyDescent="0.25">
      <c r="A1134" s="1">
        <v>45807</v>
      </c>
      <c r="B1134" s="2">
        <v>647.49</v>
      </c>
      <c r="C1134">
        <f t="shared" si="17"/>
        <v>647.49</v>
      </c>
      <c r="D1134" cm="1">
        <f t="array" ref="D1134">IF(C1134="","",C1134/LOOKUP(2,1/($C$1:C1133&lt;&gt;""),$C$1:C1133)-1)</f>
        <v>3.2580614295282917E-2</v>
      </c>
    </row>
    <row r="1135" spans="1:4" hidden="1" x14ac:dyDescent="0.25">
      <c r="A1135" s="1">
        <v>45810</v>
      </c>
      <c r="B1135" s="2">
        <v>670.9</v>
      </c>
      <c r="C1135" t="str">
        <f t="shared" si="17"/>
        <v/>
      </c>
      <c r="D1135" s="5" t="str" cm="1">
        <f t="array" ref="D1135">IF(C1135="","",C1135/LOOKUP(2,1/($C$1:C1134&lt;&gt;""),$C$1:C1134)-1)</f>
        <v/>
      </c>
    </row>
    <row r="1136" spans="1:4" hidden="1" x14ac:dyDescent="0.25">
      <c r="A1136" s="1">
        <v>45811</v>
      </c>
      <c r="B1136" s="2">
        <v>666.85</v>
      </c>
      <c r="C1136" t="str">
        <f t="shared" si="17"/>
        <v/>
      </c>
      <c r="D1136" s="5" t="str" cm="1">
        <f t="array" ref="D1136">IF(C1136="","",C1136/LOOKUP(2,1/($C$1:C1135&lt;&gt;""),$C$1:C1135)-1)</f>
        <v/>
      </c>
    </row>
    <row r="1137" spans="1:4" hidden="1" x14ac:dyDescent="0.25">
      <c r="A1137" s="1">
        <v>45812</v>
      </c>
      <c r="B1137" s="2">
        <v>687.95</v>
      </c>
      <c r="C1137" t="str">
        <f t="shared" si="17"/>
        <v/>
      </c>
      <c r="D1137" s="5" t="str" cm="1">
        <f t="array" ref="D1137">IF(C1137="","",C1137/LOOKUP(2,1/($C$1:C1136&lt;&gt;""),$C$1:C1136)-1)</f>
        <v/>
      </c>
    </row>
    <row r="1138" spans="1:4" hidden="1" x14ac:dyDescent="0.25">
      <c r="A1138" s="1">
        <v>45813</v>
      </c>
      <c r="B1138" s="2">
        <v>684.62</v>
      </c>
      <c r="C1138" t="str">
        <f t="shared" si="17"/>
        <v/>
      </c>
      <c r="D1138" s="5" t="str" cm="1">
        <f t="array" ref="D1138">IF(C1138="","",C1138/LOOKUP(2,1/($C$1:C1137&lt;&gt;""),$C$1:C1137)-1)</f>
        <v/>
      </c>
    </row>
    <row r="1139" spans="1:4" x14ac:dyDescent="0.25">
      <c r="A1139" s="1">
        <v>45814</v>
      </c>
      <c r="B1139" s="2">
        <v>697.71</v>
      </c>
      <c r="C1139">
        <f t="shared" si="17"/>
        <v>697.71</v>
      </c>
      <c r="D1139" cm="1">
        <f t="array" ref="D1139">IF(C1139="","",C1139/LOOKUP(2,1/($C$1:C1138&lt;&gt;""),$C$1:C1138)-1)</f>
        <v>7.7561043413797881E-2</v>
      </c>
    </row>
    <row r="1140" spans="1:4" hidden="1" x14ac:dyDescent="0.25">
      <c r="A1140" s="1">
        <v>45817</v>
      </c>
      <c r="B1140" s="2">
        <v>694.06</v>
      </c>
      <c r="C1140" t="str">
        <f t="shared" si="17"/>
        <v/>
      </c>
      <c r="D1140" s="5" t="str" cm="1">
        <f t="array" ref="D1140">IF(C1140="","",C1140/LOOKUP(2,1/($C$1:C1139&lt;&gt;""),$C$1:C1139)-1)</f>
        <v/>
      </c>
    </row>
    <row r="1141" spans="1:4" hidden="1" x14ac:dyDescent="0.25">
      <c r="A1141" s="1">
        <v>45818</v>
      </c>
      <c r="B1141" s="2">
        <v>702.4</v>
      </c>
      <c r="C1141" t="str">
        <f t="shared" si="17"/>
        <v/>
      </c>
      <c r="D1141" s="5" t="str" cm="1">
        <f t="array" ref="D1141">IF(C1141="","",C1141/LOOKUP(2,1/($C$1:C1140&lt;&gt;""),$C$1:C1140)-1)</f>
        <v/>
      </c>
    </row>
    <row r="1142" spans="1:4" hidden="1" x14ac:dyDescent="0.25">
      <c r="A1142" s="1">
        <v>45819</v>
      </c>
      <c r="B1142" s="2">
        <v>694.14</v>
      </c>
      <c r="C1142" t="str">
        <f t="shared" si="17"/>
        <v/>
      </c>
      <c r="D1142" s="5" t="str" cm="1">
        <f t="array" ref="D1142">IF(C1142="","",C1142/LOOKUP(2,1/($C$1:C1141&lt;&gt;""),$C$1:C1141)-1)</f>
        <v/>
      </c>
    </row>
    <row r="1143" spans="1:4" hidden="1" x14ac:dyDescent="0.25">
      <c r="A1143" s="1">
        <v>45820</v>
      </c>
      <c r="B1143" s="2">
        <v>693.36</v>
      </c>
      <c r="C1143" t="str">
        <f t="shared" si="17"/>
        <v/>
      </c>
      <c r="D1143" s="5" t="str" cm="1">
        <f t="array" ref="D1143">IF(C1143="","",C1143/LOOKUP(2,1/($C$1:C1142&lt;&gt;""),$C$1:C1142)-1)</f>
        <v/>
      </c>
    </row>
    <row r="1144" spans="1:4" x14ac:dyDescent="0.25">
      <c r="A1144" s="1">
        <v>45821</v>
      </c>
      <c r="B1144" s="2">
        <v>682.87</v>
      </c>
      <c r="C1144">
        <f t="shared" si="17"/>
        <v>682.87</v>
      </c>
      <c r="D1144" cm="1">
        <f t="array" ref="D1144">IF(C1144="","",C1144/LOOKUP(2,1/($C$1:C1143&lt;&gt;""),$C$1:C1143)-1)</f>
        <v>-2.1269581917988889E-2</v>
      </c>
    </row>
    <row r="1145" spans="1:4" hidden="1" x14ac:dyDescent="0.25">
      <c r="A1145" s="1">
        <v>45824</v>
      </c>
      <c r="B1145" s="2">
        <v>702.12</v>
      </c>
      <c r="C1145" t="str">
        <f t="shared" si="17"/>
        <v/>
      </c>
      <c r="D1145" s="5" t="str" cm="1">
        <f t="array" ref="D1145">IF(C1145="","",C1145/LOOKUP(2,1/($C$1:C1144&lt;&gt;""),$C$1:C1144)-1)</f>
        <v/>
      </c>
    </row>
    <row r="1146" spans="1:4" hidden="1" x14ac:dyDescent="0.25">
      <c r="A1146" s="1">
        <v>45825</v>
      </c>
      <c r="B1146" s="2">
        <v>697.23</v>
      </c>
      <c r="C1146" t="str">
        <f t="shared" si="17"/>
        <v/>
      </c>
      <c r="D1146" s="5" t="str" cm="1">
        <f t="array" ref="D1146">IF(C1146="","",C1146/LOOKUP(2,1/($C$1:C1145&lt;&gt;""),$C$1:C1145)-1)</f>
        <v/>
      </c>
    </row>
    <row r="1147" spans="1:4" hidden="1" x14ac:dyDescent="0.25">
      <c r="A1147" s="1">
        <v>45826</v>
      </c>
      <c r="B1147" s="2">
        <v>695.77</v>
      </c>
      <c r="C1147" t="str">
        <f t="shared" si="17"/>
        <v/>
      </c>
      <c r="D1147" s="5" t="str" cm="1">
        <f t="array" ref="D1147">IF(C1147="","",C1147/LOOKUP(2,1/($C$1:C1146&lt;&gt;""),$C$1:C1146)-1)</f>
        <v/>
      </c>
    </row>
    <row r="1148" spans="1:4" x14ac:dyDescent="0.25">
      <c r="A1148" s="1">
        <v>45828</v>
      </c>
      <c r="B1148" s="2">
        <v>682.35</v>
      </c>
      <c r="C1148">
        <f t="shared" si="17"/>
        <v>682.35</v>
      </c>
      <c r="D1148" cm="1">
        <f t="array" ref="D1148">IF(C1148="","",C1148/LOOKUP(2,1/($C$1:C1147&lt;&gt;""),$C$1:C1147)-1)</f>
        <v>-7.6149193843633167E-4</v>
      </c>
    </row>
    <row r="1149" spans="1:4" hidden="1" x14ac:dyDescent="0.25">
      <c r="A1149" s="1">
        <v>45831</v>
      </c>
      <c r="B1149" s="2">
        <v>698.53</v>
      </c>
      <c r="C1149" t="str">
        <f t="shared" si="17"/>
        <v/>
      </c>
      <c r="D1149" s="5" t="str" cm="1">
        <f t="array" ref="D1149">IF(C1149="","",C1149/LOOKUP(2,1/($C$1:C1148&lt;&gt;""),$C$1:C1148)-1)</f>
        <v/>
      </c>
    </row>
    <row r="1150" spans="1:4" hidden="1" x14ac:dyDescent="0.25">
      <c r="A1150" s="1">
        <v>45832</v>
      </c>
      <c r="B1150" s="2">
        <v>712.2</v>
      </c>
      <c r="C1150" t="str">
        <f t="shared" si="17"/>
        <v/>
      </c>
      <c r="D1150" s="5" t="str" cm="1">
        <f t="array" ref="D1150">IF(C1150="","",C1150/LOOKUP(2,1/($C$1:C1149&lt;&gt;""),$C$1:C1149)-1)</f>
        <v/>
      </c>
    </row>
    <row r="1151" spans="1:4" hidden="1" x14ac:dyDescent="0.25">
      <c r="A1151" s="1">
        <v>45833</v>
      </c>
      <c r="B1151" s="2">
        <v>708.68</v>
      </c>
      <c r="C1151" t="str">
        <f t="shared" si="17"/>
        <v/>
      </c>
      <c r="D1151" s="5" t="str" cm="1">
        <f t="array" ref="D1151">IF(C1151="","",C1151/LOOKUP(2,1/($C$1:C1150&lt;&gt;""),$C$1:C1150)-1)</f>
        <v/>
      </c>
    </row>
    <row r="1152" spans="1:4" hidden="1" x14ac:dyDescent="0.25">
      <c r="A1152" s="1">
        <v>45834</v>
      </c>
      <c r="B1152" s="2">
        <v>726.09</v>
      </c>
      <c r="C1152" t="str">
        <f t="shared" si="17"/>
        <v/>
      </c>
      <c r="D1152" s="5" t="str" cm="1">
        <f t="array" ref="D1152">IF(C1152="","",C1152/LOOKUP(2,1/($C$1:C1151&lt;&gt;""),$C$1:C1151)-1)</f>
        <v/>
      </c>
    </row>
    <row r="1153" spans="1:4" x14ac:dyDescent="0.25">
      <c r="A1153" s="1">
        <v>45835</v>
      </c>
      <c r="B1153" s="2">
        <v>733.63</v>
      </c>
      <c r="C1153">
        <f t="shared" si="17"/>
        <v>733.63</v>
      </c>
      <c r="D1153" cm="1">
        <f t="array" ref="D1153">IF(C1153="","",C1153/LOOKUP(2,1/($C$1:C1152&lt;&gt;""),$C$1:C1152)-1)</f>
        <v>7.515204806917275E-2</v>
      </c>
    </row>
    <row r="1154" spans="1:4" hidden="1" x14ac:dyDescent="0.25">
      <c r="A1154" s="1">
        <v>45838</v>
      </c>
      <c r="B1154" s="2">
        <v>738.09</v>
      </c>
      <c r="C1154" t="str">
        <f t="shared" si="17"/>
        <v/>
      </c>
      <c r="D1154" s="5" t="str" cm="1">
        <f t="array" ref="D1154">IF(C1154="","",C1154/LOOKUP(2,1/($C$1:C1153&lt;&gt;""),$C$1:C1153)-1)</f>
        <v/>
      </c>
    </row>
    <row r="1155" spans="1:4" hidden="1" x14ac:dyDescent="0.25">
      <c r="A1155" s="1">
        <v>45839</v>
      </c>
      <c r="B1155" s="2">
        <v>719.22</v>
      </c>
      <c r="C1155" t="str">
        <f t="shared" ref="C1155:C1218" si="18">IF(WEEKNUM(A1155)&lt;&gt;WEEKNUM(A1156),B1155,"")</f>
        <v/>
      </c>
      <c r="D1155" s="5" t="str" cm="1">
        <f t="array" ref="D1155">IF(C1155="","",C1155/LOOKUP(2,1/($C$1:C1154&lt;&gt;""),$C$1:C1154)-1)</f>
        <v/>
      </c>
    </row>
    <row r="1156" spans="1:4" hidden="1" x14ac:dyDescent="0.25">
      <c r="A1156" s="1">
        <v>45840</v>
      </c>
      <c r="B1156" s="2">
        <v>713.57</v>
      </c>
      <c r="C1156" t="str">
        <f t="shared" si="18"/>
        <v/>
      </c>
      <c r="D1156" s="5" t="str" cm="1">
        <f t="array" ref="D1156">IF(C1156="","",C1156/LOOKUP(2,1/($C$1:C1155&lt;&gt;""),$C$1:C1155)-1)</f>
        <v/>
      </c>
    </row>
    <row r="1157" spans="1:4" x14ac:dyDescent="0.25">
      <c r="A1157" s="1">
        <v>45841</v>
      </c>
      <c r="B1157" s="2">
        <v>719.01</v>
      </c>
      <c r="C1157">
        <f t="shared" si="18"/>
        <v>719.01</v>
      </c>
      <c r="D1157" cm="1">
        <f t="array" ref="D1157">IF(C1157="","",C1157/LOOKUP(2,1/($C$1:C1156&lt;&gt;""),$C$1:C1156)-1)</f>
        <v>-1.9928301732480946E-2</v>
      </c>
    </row>
    <row r="1158" spans="1:4" hidden="1" x14ac:dyDescent="0.25">
      <c r="A1158" s="1">
        <v>45845</v>
      </c>
      <c r="B1158" s="2">
        <v>718.35</v>
      </c>
      <c r="C1158" t="str">
        <f t="shared" si="18"/>
        <v/>
      </c>
      <c r="D1158" s="5" t="str" cm="1">
        <f t="array" ref="D1158">IF(C1158="","",C1158/LOOKUP(2,1/($C$1:C1157&lt;&gt;""),$C$1:C1157)-1)</f>
        <v/>
      </c>
    </row>
    <row r="1159" spans="1:4" hidden="1" x14ac:dyDescent="0.25">
      <c r="A1159" s="1">
        <v>45846</v>
      </c>
      <c r="B1159" s="2">
        <v>720.67</v>
      </c>
      <c r="C1159" t="str">
        <f t="shared" si="18"/>
        <v/>
      </c>
      <c r="D1159" s="5" t="str" cm="1">
        <f t="array" ref="D1159">IF(C1159="","",C1159/LOOKUP(2,1/($C$1:C1158&lt;&gt;""),$C$1:C1158)-1)</f>
        <v/>
      </c>
    </row>
    <row r="1160" spans="1:4" hidden="1" x14ac:dyDescent="0.25">
      <c r="A1160" s="1">
        <v>45847</v>
      </c>
      <c r="B1160" s="2">
        <v>732.78</v>
      </c>
      <c r="C1160" t="str">
        <f t="shared" si="18"/>
        <v/>
      </c>
      <c r="D1160" s="5" t="str" cm="1">
        <f t="array" ref="D1160">IF(C1160="","",C1160/LOOKUP(2,1/($C$1:C1159&lt;&gt;""),$C$1:C1159)-1)</f>
        <v/>
      </c>
    </row>
    <row r="1161" spans="1:4" hidden="1" x14ac:dyDescent="0.25">
      <c r="A1161" s="1">
        <v>45848</v>
      </c>
      <c r="B1161" s="2">
        <v>727.24</v>
      </c>
      <c r="C1161" t="str">
        <f t="shared" si="18"/>
        <v/>
      </c>
      <c r="D1161" s="5" t="str" cm="1">
        <f t="array" ref="D1161">IF(C1161="","",C1161/LOOKUP(2,1/($C$1:C1160&lt;&gt;""),$C$1:C1160)-1)</f>
        <v/>
      </c>
    </row>
    <row r="1162" spans="1:4" x14ac:dyDescent="0.25">
      <c r="A1162" s="1">
        <v>45849</v>
      </c>
      <c r="B1162" s="2">
        <v>717.51</v>
      </c>
      <c r="C1162">
        <f t="shared" si="18"/>
        <v>717.51</v>
      </c>
      <c r="D1162" cm="1">
        <f t="array" ref="D1162">IF(C1162="","",C1162/LOOKUP(2,1/($C$1:C1161&lt;&gt;""),$C$1:C1161)-1)</f>
        <v>-2.0862018608920341E-3</v>
      </c>
    </row>
    <row r="1163" spans="1:4" hidden="1" x14ac:dyDescent="0.25">
      <c r="A1163" s="1">
        <v>45852</v>
      </c>
      <c r="B1163" s="2">
        <v>720.92</v>
      </c>
      <c r="C1163" t="str">
        <f t="shared" si="18"/>
        <v/>
      </c>
      <c r="D1163" s="5" t="str" cm="1">
        <f t="array" ref="D1163">IF(C1163="","",C1163/LOOKUP(2,1/($C$1:C1162&lt;&gt;""),$C$1:C1162)-1)</f>
        <v/>
      </c>
    </row>
    <row r="1164" spans="1:4" hidden="1" x14ac:dyDescent="0.25">
      <c r="A1164" s="1">
        <v>45853</v>
      </c>
      <c r="B1164" s="2">
        <v>710.39</v>
      </c>
      <c r="C1164" t="str">
        <f t="shared" si="18"/>
        <v/>
      </c>
      <c r="D1164" s="5" t="str" cm="1">
        <f t="array" ref="D1164">IF(C1164="","",C1164/LOOKUP(2,1/($C$1:C1163&lt;&gt;""),$C$1:C1163)-1)</f>
        <v/>
      </c>
    </row>
    <row r="1165" spans="1:4" hidden="1" x14ac:dyDescent="0.25">
      <c r="A1165" s="1">
        <v>45854</v>
      </c>
      <c r="B1165" s="2">
        <v>702.91</v>
      </c>
      <c r="C1165" t="str">
        <f t="shared" si="18"/>
        <v/>
      </c>
      <c r="D1165" s="5" t="str" cm="1">
        <f t="array" ref="D1165">IF(C1165="","",C1165/LOOKUP(2,1/($C$1:C1164&lt;&gt;""),$C$1:C1164)-1)</f>
        <v/>
      </c>
    </row>
    <row r="1166" spans="1:4" hidden="1" x14ac:dyDescent="0.25">
      <c r="A1166" s="1">
        <v>45855</v>
      </c>
      <c r="B1166" s="2">
        <v>701.41</v>
      </c>
      <c r="C1166" t="str">
        <f t="shared" si="18"/>
        <v/>
      </c>
      <c r="D1166" s="5" t="str" cm="1">
        <f t="array" ref="D1166">IF(C1166="","",C1166/LOOKUP(2,1/($C$1:C1165&lt;&gt;""),$C$1:C1165)-1)</f>
        <v/>
      </c>
    </row>
    <row r="1167" spans="1:4" x14ac:dyDescent="0.25">
      <c r="A1167" s="1">
        <v>45856</v>
      </c>
      <c r="B1167" s="2">
        <v>704.28</v>
      </c>
      <c r="C1167">
        <f t="shared" si="18"/>
        <v>704.28</v>
      </c>
      <c r="D1167" cm="1">
        <f t="array" ref="D1167">IF(C1167="","",C1167/LOOKUP(2,1/($C$1:C1166&lt;&gt;""),$C$1:C1166)-1)</f>
        <v>-1.8438767403938683E-2</v>
      </c>
    </row>
    <row r="1168" spans="1:4" hidden="1" x14ac:dyDescent="0.25">
      <c r="A1168" s="1">
        <v>45859</v>
      </c>
      <c r="B1168" s="2">
        <v>712.96500000000003</v>
      </c>
      <c r="C1168" t="str">
        <f t="shared" si="18"/>
        <v/>
      </c>
      <c r="D1168" s="5" t="str" cm="1">
        <f t="array" ref="D1168">IF(C1168="","",C1168/LOOKUP(2,1/($C$1:C1167&lt;&gt;""),$C$1:C1167)-1)</f>
        <v/>
      </c>
    </row>
    <row r="1169" spans="1:4" hidden="1" x14ac:dyDescent="0.25">
      <c r="A1169" s="1">
        <v>45860</v>
      </c>
      <c r="B1169" s="2">
        <v>704.81</v>
      </c>
      <c r="C1169" t="str">
        <f t="shared" si="18"/>
        <v/>
      </c>
      <c r="D1169" s="5" t="str" cm="1">
        <f t="array" ref="D1169">IF(C1169="","",C1169/LOOKUP(2,1/($C$1:C1168&lt;&gt;""),$C$1:C1168)-1)</f>
        <v/>
      </c>
    </row>
    <row r="1170" spans="1:4" hidden="1" x14ac:dyDescent="0.25">
      <c r="A1170" s="1">
        <v>45861</v>
      </c>
      <c r="B1170" s="2">
        <v>713.58</v>
      </c>
      <c r="C1170" t="str">
        <f t="shared" si="18"/>
        <v/>
      </c>
      <c r="D1170" s="5" t="str" cm="1">
        <f t="array" ref="D1170">IF(C1170="","",C1170/LOOKUP(2,1/($C$1:C1169&lt;&gt;""),$C$1:C1169)-1)</f>
        <v/>
      </c>
    </row>
    <row r="1171" spans="1:4" hidden="1" x14ac:dyDescent="0.25">
      <c r="A1171" s="1">
        <v>45862</v>
      </c>
      <c r="B1171" s="2">
        <v>714.8</v>
      </c>
      <c r="C1171" t="str">
        <f t="shared" si="18"/>
        <v/>
      </c>
      <c r="D1171" s="5" t="str" cm="1">
        <f t="array" ref="D1171">IF(C1171="","",C1171/LOOKUP(2,1/($C$1:C1170&lt;&gt;""),$C$1:C1170)-1)</f>
        <v/>
      </c>
    </row>
    <row r="1172" spans="1:4" x14ac:dyDescent="0.25">
      <c r="A1172" s="1">
        <v>45863</v>
      </c>
      <c r="B1172" s="2">
        <v>712.68</v>
      </c>
      <c r="C1172">
        <f t="shared" si="18"/>
        <v>712.68</v>
      </c>
      <c r="D1172" cm="1">
        <f t="array" ref="D1172">IF(C1172="","",C1172/LOOKUP(2,1/($C$1:C1171&lt;&gt;""),$C$1:C1171)-1)</f>
        <v>1.1927074459021858E-2</v>
      </c>
    </row>
    <row r="1173" spans="1:4" hidden="1" x14ac:dyDescent="0.25">
      <c r="A1173" s="1">
        <v>45866</v>
      </c>
      <c r="B1173" s="2">
        <v>717.63</v>
      </c>
      <c r="C1173" t="str">
        <f t="shared" si="18"/>
        <v/>
      </c>
      <c r="D1173" s="5" t="str" cm="1">
        <f t="array" ref="D1173">IF(C1173="","",C1173/LOOKUP(2,1/($C$1:C1172&lt;&gt;""),$C$1:C1172)-1)</f>
        <v/>
      </c>
    </row>
    <row r="1174" spans="1:4" hidden="1" x14ac:dyDescent="0.25">
      <c r="A1174" s="1">
        <v>45867</v>
      </c>
      <c r="B1174" s="2">
        <v>700</v>
      </c>
      <c r="C1174" t="str">
        <f t="shared" si="18"/>
        <v/>
      </c>
      <c r="D1174" s="5" t="str" cm="1">
        <f t="array" ref="D1174">IF(C1174="","",C1174/LOOKUP(2,1/($C$1:C1173&lt;&gt;""),$C$1:C1173)-1)</f>
        <v/>
      </c>
    </row>
    <row r="1175" spans="1:4" hidden="1" x14ac:dyDescent="0.25">
      <c r="A1175" s="1">
        <v>45868</v>
      </c>
      <c r="B1175" s="2">
        <v>695.21</v>
      </c>
      <c r="C1175" t="str">
        <f t="shared" si="18"/>
        <v/>
      </c>
      <c r="D1175" s="5" t="str" cm="1">
        <f t="array" ref="D1175">IF(C1175="","",C1175/LOOKUP(2,1/($C$1:C1174&lt;&gt;""),$C$1:C1174)-1)</f>
        <v/>
      </c>
    </row>
    <row r="1176" spans="1:4" hidden="1" x14ac:dyDescent="0.25">
      <c r="A1176" s="1">
        <v>45869</v>
      </c>
      <c r="B1176" s="2">
        <v>773.44</v>
      </c>
      <c r="C1176" t="str">
        <f t="shared" si="18"/>
        <v/>
      </c>
      <c r="D1176" s="5" t="str" cm="1">
        <f t="array" ref="D1176">IF(C1176="","",C1176/LOOKUP(2,1/($C$1:C1175&lt;&gt;""),$C$1:C1175)-1)</f>
        <v/>
      </c>
    </row>
    <row r="1177" spans="1:4" x14ac:dyDescent="0.25">
      <c r="A1177" s="1">
        <v>45870</v>
      </c>
      <c r="B1177" s="2">
        <v>750.01</v>
      </c>
      <c r="C1177">
        <f t="shared" si="18"/>
        <v>750.01</v>
      </c>
      <c r="D1177" cm="1">
        <f t="array" ref="D1177">IF(C1177="","",C1177/LOOKUP(2,1/($C$1:C1176&lt;&gt;""),$C$1:C1176)-1)</f>
        <v>5.2379749677274656E-2</v>
      </c>
    </row>
    <row r="1178" spans="1:4" hidden="1" x14ac:dyDescent="0.25">
      <c r="A1178" s="1">
        <v>45873</v>
      </c>
      <c r="B1178" s="2">
        <v>776.37</v>
      </c>
      <c r="C1178" t="str">
        <f t="shared" si="18"/>
        <v/>
      </c>
      <c r="D1178" s="5" t="str" cm="1">
        <f t="array" ref="D1178">IF(C1178="","",C1178/LOOKUP(2,1/($C$1:C1177&lt;&gt;""),$C$1:C1177)-1)</f>
        <v/>
      </c>
    </row>
    <row r="1179" spans="1:4" hidden="1" x14ac:dyDescent="0.25">
      <c r="A1179" s="1">
        <v>45874</v>
      </c>
      <c r="B1179" s="2">
        <v>763.46</v>
      </c>
      <c r="C1179" t="str">
        <f t="shared" si="18"/>
        <v/>
      </c>
      <c r="D1179" s="5" t="str" cm="1">
        <f t="array" ref="D1179">IF(C1179="","",C1179/LOOKUP(2,1/($C$1:C1178&lt;&gt;""),$C$1:C1178)-1)</f>
        <v/>
      </c>
    </row>
    <row r="1180" spans="1:4" hidden="1" x14ac:dyDescent="0.25">
      <c r="A1180" s="1">
        <v>45875</v>
      </c>
      <c r="B1180" s="2">
        <v>771.99</v>
      </c>
      <c r="C1180" t="str">
        <f t="shared" si="18"/>
        <v/>
      </c>
      <c r="D1180" s="5" t="str" cm="1">
        <f t="array" ref="D1180">IF(C1180="","",C1180/LOOKUP(2,1/($C$1:C1179&lt;&gt;""),$C$1:C1179)-1)</f>
        <v/>
      </c>
    </row>
    <row r="1181" spans="1:4" hidden="1" x14ac:dyDescent="0.25">
      <c r="A1181" s="1">
        <v>45876</v>
      </c>
      <c r="B1181" s="2">
        <v>761.83</v>
      </c>
      <c r="C1181" t="str">
        <f t="shared" si="18"/>
        <v/>
      </c>
      <c r="D1181" s="5" t="str" cm="1">
        <f t="array" ref="D1181">IF(C1181="","",C1181/LOOKUP(2,1/($C$1:C1180&lt;&gt;""),$C$1:C1180)-1)</f>
        <v/>
      </c>
    </row>
    <row r="1182" spans="1:4" x14ac:dyDescent="0.25">
      <c r="A1182" s="1">
        <v>45877</v>
      </c>
      <c r="B1182" s="2">
        <v>769.3</v>
      </c>
      <c r="C1182">
        <f t="shared" si="18"/>
        <v>769.3</v>
      </c>
      <c r="D1182" cm="1">
        <f t="array" ref="D1182">IF(C1182="","",C1182/LOOKUP(2,1/($C$1:C1181&lt;&gt;""),$C$1:C1181)-1)</f>
        <v>2.5719657071239022E-2</v>
      </c>
    </row>
    <row r="1183" spans="1:4" hidden="1" x14ac:dyDescent="0.25">
      <c r="A1183" s="1">
        <v>45880</v>
      </c>
      <c r="B1183" s="2">
        <v>765.87</v>
      </c>
      <c r="C1183" t="str">
        <f t="shared" si="18"/>
        <v/>
      </c>
      <c r="D1183" s="5" t="str" cm="1">
        <f t="array" ref="D1183">IF(C1183="","",C1183/LOOKUP(2,1/($C$1:C1182&lt;&gt;""),$C$1:C1182)-1)</f>
        <v/>
      </c>
    </row>
    <row r="1184" spans="1:4" hidden="1" x14ac:dyDescent="0.25">
      <c r="A1184" s="1">
        <v>45881</v>
      </c>
      <c r="B1184" s="2">
        <v>790</v>
      </c>
      <c r="C1184" t="str">
        <f t="shared" si="18"/>
        <v/>
      </c>
      <c r="D1184" s="5" t="str" cm="1">
        <f t="array" ref="D1184">IF(C1184="","",C1184/LOOKUP(2,1/($C$1:C1183&lt;&gt;""),$C$1:C1183)-1)</f>
        <v/>
      </c>
    </row>
    <row r="1185" spans="1:4" hidden="1" x14ac:dyDescent="0.25">
      <c r="A1185" s="1">
        <v>45882</v>
      </c>
      <c r="B1185" s="2">
        <v>780.08</v>
      </c>
      <c r="C1185" t="str">
        <f t="shared" si="18"/>
        <v/>
      </c>
      <c r="D1185" s="5" t="str" cm="1">
        <f t="array" ref="D1185">IF(C1185="","",C1185/LOOKUP(2,1/($C$1:C1184&lt;&gt;""),$C$1:C1184)-1)</f>
        <v/>
      </c>
    </row>
    <row r="1186" spans="1:4" hidden="1" x14ac:dyDescent="0.25">
      <c r="A1186" s="1">
        <v>45883</v>
      </c>
      <c r="B1186" s="2">
        <v>782.13</v>
      </c>
      <c r="C1186" t="str">
        <f t="shared" si="18"/>
        <v/>
      </c>
      <c r="D1186" s="5" t="str" cm="1">
        <f t="array" ref="D1186">IF(C1186="","",C1186/LOOKUP(2,1/($C$1:C1185&lt;&gt;""),$C$1:C1185)-1)</f>
        <v/>
      </c>
    </row>
    <row r="1187" spans="1:4" x14ac:dyDescent="0.25">
      <c r="A1187" s="1">
        <v>45884</v>
      </c>
      <c r="B1187" s="2">
        <v>785.23</v>
      </c>
      <c r="C1187">
        <f t="shared" si="18"/>
        <v>785.23</v>
      </c>
      <c r="D1187" cm="1">
        <f t="array" ref="D1187">IF(C1187="","",C1187/LOOKUP(2,1/($C$1:C1186&lt;&gt;""),$C$1:C1186)-1)</f>
        <v>2.0707136357727807E-2</v>
      </c>
    </row>
    <row r="1188" spans="1:4" hidden="1" x14ac:dyDescent="0.25">
      <c r="A1188" s="1">
        <v>45887</v>
      </c>
      <c r="B1188" s="2">
        <v>767.37</v>
      </c>
      <c r="C1188" t="str">
        <f t="shared" si="18"/>
        <v/>
      </c>
      <c r="D1188" s="5" t="str" cm="1">
        <f t="array" ref="D1188">IF(C1188="","",C1188/LOOKUP(2,1/($C$1:C1187&lt;&gt;""),$C$1:C1187)-1)</f>
        <v/>
      </c>
    </row>
    <row r="1189" spans="1:4" hidden="1" x14ac:dyDescent="0.25">
      <c r="A1189" s="1">
        <v>45888</v>
      </c>
      <c r="B1189" s="2">
        <v>751.48</v>
      </c>
      <c r="C1189" t="str">
        <f t="shared" si="18"/>
        <v/>
      </c>
      <c r="D1189" s="5" t="str" cm="1">
        <f t="array" ref="D1189">IF(C1189="","",C1189/LOOKUP(2,1/($C$1:C1188&lt;&gt;""),$C$1:C1188)-1)</f>
        <v/>
      </c>
    </row>
    <row r="1190" spans="1:4" hidden="1" x14ac:dyDescent="0.25">
      <c r="A1190" s="1">
        <v>45889</v>
      </c>
      <c r="B1190" s="2">
        <v>747.72</v>
      </c>
      <c r="C1190" t="str">
        <f t="shared" si="18"/>
        <v/>
      </c>
      <c r="D1190" s="5" t="str" cm="1">
        <f t="array" ref="D1190">IF(C1190="","",C1190/LOOKUP(2,1/($C$1:C1189&lt;&gt;""),$C$1:C1189)-1)</f>
        <v/>
      </c>
    </row>
    <row r="1191" spans="1:4" hidden="1" x14ac:dyDescent="0.25">
      <c r="A1191" s="1">
        <v>45890</v>
      </c>
      <c r="B1191" s="2">
        <v>739.1</v>
      </c>
      <c r="C1191" t="str">
        <f t="shared" si="18"/>
        <v/>
      </c>
      <c r="D1191" s="5" t="str" cm="1">
        <f t="array" ref="D1191">IF(C1191="","",C1191/LOOKUP(2,1/($C$1:C1190&lt;&gt;""),$C$1:C1190)-1)</f>
        <v/>
      </c>
    </row>
    <row r="1192" spans="1:4" x14ac:dyDescent="0.25">
      <c r="A1192" s="1">
        <v>45891</v>
      </c>
      <c r="B1192" s="2">
        <v>754.79</v>
      </c>
      <c r="C1192">
        <f t="shared" si="18"/>
        <v>754.79</v>
      </c>
      <c r="D1192" cm="1">
        <f t="array" ref="D1192">IF(C1192="","",C1192/LOOKUP(2,1/($C$1:C1191&lt;&gt;""),$C$1:C1191)-1)</f>
        <v>-3.8765711957006288E-2</v>
      </c>
    </row>
    <row r="1193" spans="1:4" hidden="1" x14ac:dyDescent="0.25">
      <c r="A1193" s="1">
        <v>45894</v>
      </c>
      <c r="B1193" s="2">
        <v>753.3</v>
      </c>
      <c r="C1193" t="str">
        <f t="shared" si="18"/>
        <v/>
      </c>
      <c r="D1193" s="5" t="str" cm="1">
        <f t="array" ref="D1193">IF(C1193="","",C1193/LOOKUP(2,1/($C$1:C1192&lt;&gt;""),$C$1:C1192)-1)</f>
        <v/>
      </c>
    </row>
    <row r="1194" spans="1:4" hidden="1" x14ac:dyDescent="0.25">
      <c r="A1194" s="1">
        <v>45895</v>
      </c>
      <c r="B1194" s="2">
        <v>754.1</v>
      </c>
      <c r="C1194" t="str">
        <f t="shared" si="18"/>
        <v/>
      </c>
      <c r="D1194" s="5" t="str" cm="1">
        <f t="array" ref="D1194">IF(C1194="","",C1194/LOOKUP(2,1/($C$1:C1193&lt;&gt;""),$C$1:C1193)-1)</f>
        <v/>
      </c>
    </row>
    <row r="1195" spans="1:4" hidden="1" x14ac:dyDescent="0.25">
      <c r="A1195" s="1">
        <v>45896</v>
      </c>
      <c r="B1195" s="2">
        <v>747.38</v>
      </c>
      <c r="C1195" t="str">
        <f t="shared" si="18"/>
        <v/>
      </c>
      <c r="D1195" s="5" t="str" cm="1">
        <f t="array" ref="D1195">IF(C1195="","",C1195/LOOKUP(2,1/($C$1:C1194&lt;&gt;""),$C$1:C1194)-1)</f>
        <v/>
      </c>
    </row>
    <row r="1196" spans="1:4" hidden="1" x14ac:dyDescent="0.25">
      <c r="A1196" s="1">
        <v>45897</v>
      </c>
      <c r="B1196" s="2">
        <v>751.11</v>
      </c>
      <c r="C1196" t="str">
        <f t="shared" si="18"/>
        <v/>
      </c>
      <c r="D1196" s="5" t="str" cm="1">
        <f t="array" ref="D1196">IF(C1196="","",C1196/LOOKUP(2,1/($C$1:C1195&lt;&gt;""),$C$1:C1195)-1)</f>
        <v/>
      </c>
    </row>
    <row r="1197" spans="1:4" x14ac:dyDescent="0.25">
      <c r="A1197" s="1">
        <v>45898</v>
      </c>
      <c r="B1197" s="2">
        <v>738.7</v>
      </c>
      <c r="C1197">
        <f t="shared" si="18"/>
        <v>738.7</v>
      </c>
      <c r="D1197" cm="1">
        <f t="array" ref="D1197">IF(C1197="","",C1197/LOOKUP(2,1/($C$1:C1196&lt;&gt;""),$C$1:C1196)-1)</f>
        <v>-2.1317187562103213E-2</v>
      </c>
    </row>
    <row r="1198" spans="1:4" hidden="1" x14ac:dyDescent="0.25">
      <c r="A1198" s="1">
        <v>45902</v>
      </c>
      <c r="B1198" s="2">
        <v>735.11</v>
      </c>
      <c r="C1198" t="str">
        <f t="shared" si="18"/>
        <v/>
      </c>
      <c r="D1198" s="5" t="str" cm="1">
        <f t="array" ref="D1198">IF(C1198="","",C1198/LOOKUP(2,1/($C$1:C1197&lt;&gt;""),$C$1:C1197)-1)</f>
        <v/>
      </c>
    </row>
    <row r="1199" spans="1:4" hidden="1" x14ac:dyDescent="0.25">
      <c r="A1199" s="1">
        <v>45903</v>
      </c>
      <c r="B1199" s="2">
        <v>737.05</v>
      </c>
      <c r="C1199" t="str">
        <f t="shared" si="18"/>
        <v/>
      </c>
      <c r="D1199" s="5" t="str" cm="1">
        <f t="array" ref="D1199">IF(C1199="","",C1199/LOOKUP(2,1/($C$1:C1198&lt;&gt;""),$C$1:C1198)-1)</f>
        <v/>
      </c>
    </row>
    <row r="1200" spans="1:4" hidden="1" x14ac:dyDescent="0.25">
      <c r="A1200" s="1">
        <v>45904</v>
      </c>
      <c r="B1200" s="2">
        <v>748.65</v>
      </c>
      <c r="C1200" t="str">
        <f t="shared" si="18"/>
        <v/>
      </c>
      <c r="D1200" s="5" t="str" cm="1">
        <f t="array" ref="D1200">IF(C1200="","",C1200/LOOKUP(2,1/($C$1:C1199&lt;&gt;""),$C$1:C1199)-1)</f>
        <v/>
      </c>
    </row>
    <row r="1201" spans="1:4" x14ac:dyDescent="0.25">
      <c r="A1201" s="1">
        <v>45905</v>
      </c>
      <c r="B1201" s="2">
        <v>752.45</v>
      </c>
      <c r="C1201">
        <f t="shared" si="18"/>
        <v>752.45</v>
      </c>
      <c r="D1201" cm="1">
        <f t="array" ref="D1201">IF(C1201="","",C1201/LOOKUP(2,1/($C$1:C1200&lt;&gt;""),$C$1:C1200)-1)</f>
        <v>1.8613780966562965E-2</v>
      </c>
    </row>
    <row r="1202" spans="1:4" hidden="1" x14ac:dyDescent="0.25">
      <c r="A1202" s="1">
        <v>45908</v>
      </c>
      <c r="B1202" s="2">
        <v>752.3</v>
      </c>
      <c r="C1202" t="str">
        <f t="shared" si="18"/>
        <v/>
      </c>
      <c r="D1202" s="5" t="str" cm="1">
        <f t="array" ref="D1202">IF(C1202="","",C1202/LOOKUP(2,1/($C$1:C1201&lt;&gt;""),$C$1:C1201)-1)</f>
        <v/>
      </c>
    </row>
    <row r="1203" spans="1:4" hidden="1" x14ac:dyDescent="0.25">
      <c r="A1203" s="1">
        <v>45909</v>
      </c>
      <c r="B1203" s="2">
        <v>765.7</v>
      </c>
      <c r="C1203" t="str">
        <f t="shared" si="18"/>
        <v/>
      </c>
      <c r="D1203" s="5" t="str" cm="1">
        <f t="array" ref="D1203">IF(C1203="","",C1203/LOOKUP(2,1/($C$1:C1202&lt;&gt;""),$C$1:C1202)-1)</f>
        <v/>
      </c>
    </row>
    <row r="1204" spans="1:4" hidden="1" x14ac:dyDescent="0.25">
      <c r="A1204" s="1">
        <v>45910</v>
      </c>
      <c r="B1204" s="2">
        <v>751.98</v>
      </c>
      <c r="C1204" t="str">
        <f t="shared" si="18"/>
        <v/>
      </c>
      <c r="D1204" s="5" t="str" cm="1">
        <f t="array" ref="D1204">IF(C1204="","",C1204/LOOKUP(2,1/($C$1:C1203&lt;&gt;""),$C$1:C1203)-1)</f>
        <v/>
      </c>
    </row>
    <row r="1205" spans="1:4" hidden="1" x14ac:dyDescent="0.25">
      <c r="A1205" s="1">
        <v>45911</v>
      </c>
      <c r="B1205" s="2">
        <v>750.9</v>
      </c>
      <c r="C1205" t="str">
        <f t="shared" si="18"/>
        <v/>
      </c>
      <c r="D1205" s="5" t="str" cm="1">
        <f t="array" ref="D1205">IF(C1205="","",C1205/LOOKUP(2,1/($C$1:C1204&lt;&gt;""),$C$1:C1204)-1)</f>
        <v/>
      </c>
    </row>
    <row r="1206" spans="1:4" x14ac:dyDescent="0.25">
      <c r="A1206" s="1">
        <v>45912</v>
      </c>
      <c r="B1206" s="2">
        <v>755.59</v>
      </c>
      <c r="C1206">
        <f t="shared" si="18"/>
        <v>755.59</v>
      </c>
      <c r="D1206" cm="1">
        <f t="array" ref="D1206">IF(C1206="","",C1206/LOOKUP(2,1/($C$1:C1205&lt;&gt;""),$C$1:C1205)-1)</f>
        <v>4.1730347531396816E-3</v>
      </c>
    </row>
    <row r="1207" spans="1:4" hidden="1" x14ac:dyDescent="0.25">
      <c r="A1207" s="1">
        <v>45915</v>
      </c>
      <c r="B1207" s="2">
        <v>764.7</v>
      </c>
      <c r="C1207" t="str">
        <f t="shared" si="18"/>
        <v/>
      </c>
      <c r="D1207" s="5" t="str" cm="1">
        <f t="array" ref="D1207">IF(C1207="","",C1207/LOOKUP(2,1/($C$1:C1206&lt;&gt;""),$C$1:C1206)-1)</f>
        <v/>
      </c>
    </row>
    <row r="1208" spans="1:4" hidden="1" x14ac:dyDescent="0.25">
      <c r="A1208" s="1">
        <v>45916</v>
      </c>
      <c r="B1208" s="2">
        <v>779</v>
      </c>
      <c r="C1208" t="str">
        <f t="shared" si="18"/>
        <v/>
      </c>
      <c r="D1208" s="5" t="str" cm="1">
        <f t="array" ref="D1208">IF(C1208="","",C1208/LOOKUP(2,1/($C$1:C1207&lt;&gt;""),$C$1:C1207)-1)</f>
        <v/>
      </c>
    </row>
    <row r="1209" spans="1:4" hidden="1" x14ac:dyDescent="0.25">
      <c r="A1209" s="1">
        <v>45917</v>
      </c>
      <c r="B1209" s="2">
        <v>775.71500000000003</v>
      </c>
      <c r="C1209" t="str">
        <f t="shared" si="18"/>
        <v/>
      </c>
      <c r="D1209" s="5" t="str" cm="1">
        <f t="array" ref="D1209">IF(C1209="","",C1209/LOOKUP(2,1/($C$1:C1208&lt;&gt;""),$C$1:C1208)-1)</f>
        <v/>
      </c>
    </row>
    <row r="1210" spans="1:4" hidden="1" x14ac:dyDescent="0.25">
      <c r="A1210" s="1">
        <v>45918</v>
      </c>
      <c r="B1210" s="2">
        <v>780.25</v>
      </c>
      <c r="C1210" t="str">
        <f t="shared" si="18"/>
        <v/>
      </c>
      <c r="D1210" s="5" t="str" cm="1">
        <f t="array" ref="D1210">IF(C1210="","",C1210/LOOKUP(2,1/($C$1:C1209&lt;&gt;""),$C$1:C1209)-1)</f>
        <v/>
      </c>
    </row>
    <row r="1211" spans="1:4" x14ac:dyDescent="0.25">
      <c r="A1211" s="1">
        <v>45919</v>
      </c>
      <c r="B1211" s="2">
        <v>778.38</v>
      </c>
      <c r="C1211">
        <f t="shared" si="18"/>
        <v>778.38</v>
      </c>
      <c r="D1211" cm="1">
        <f t="array" ref="D1211">IF(C1211="","",C1211/LOOKUP(2,1/($C$1:C1210&lt;&gt;""),$C$1:C1210)-1)</f>
        <v>3.0161860268134832E-2</v>
      </c>
    </row>
    <row r="1212" spans="1:4" hidden="1" x14ac:dyDescent="0.25">
      <c r="A1212" s="1">
        <v>45922</v>
      </c>
      <c r="B1212" s="2">
        <v>765.16</v>
      </c>
      <c r="C1212" t="str">
        <f t="shared" si="18"/>
        <v/>
      </c>
      <c r="D1212" s="5" t="str" cm="1">
        <f t="array" ref="D1212">IF(C1212="","",C1212/LOOKUP(2,1/($C$1:C1211&lt;&gt;""),$C$1:C1211)-1)</f>
        <v/>
      </c>
    </row>
    <row r="1213" spans="1:4" hidden="1" x14ac:dyDescent="0.25">
      <c r="A1213" s="1">
        <v>45923</v>
      </c>
      <c r="B1213" s="2">
        <v>755.4</v>
      </c>
      <c r="C1213" t="str">
        <f t="shared" si="18"/>
        <v/>
      </c>
      <c r="D1213" s="5" t="str" cm="1">
        <f t="array" ref="D1213">IF(C1213="","",C1213/LOOKUP(2,1/($C$1:C1212&lt;&gt;""),$C$1:C1212)-1)</f>
        <v/>
      </c>
    </row>
    <row r="1214" spans="1:4" hidden="1" x14ac:dyDescent="0.25">
      <c r="A1214" s="1">
        <v>45924</v>
      </c>
      <c r="B1214" s="2">
        <v>760.66</v>
      </c>
      <c r="C1214" t="str">
        <f t="shared" si="18"/>
        <v/>
      </c>
      <c r="D1214" s="5" t="str" cm="1">
        <f t="array" ref="D1214">IF(C1214="","",C1214/LOOKUP(2,1/($C$1:C1213&lt;&gt;""),$C$1:C1213)-1)</f>
        <v/>
      </c>
    </row>
    <row r="1215" spans="1:4" hidden="1" x14ac:dyDescent="0.25">
      <c r="A1215" s="1">
        <v>45925</v>
      </c>
      <c r="B1215" s="2">
        <v>748.91</v>
      </c>
      <c r="C1215" t="str">
        <f t="shared" si="18"/>
        <v/>
      </c>
      <c r="D1215" s="5" t="str" cm="1">
        <f t="array" ref="D1215">IF(C1215="","",C1215/LOOKUP(2,1/($C$1:C1214&lt;&gt;""),$C$1:C1214)-1)</f>
        <v/>
      </c>
    </row>
    <row r="1216" spans="1:4" x14ac:dyDescent="0.25">
      <c r="A1216" s="1">
        <v>45926</v>
      </c>
      <c r="B1216" s="2">
        <v>743.75</v>
      </c>
      <c r="C1216">
        <f t="shared" si="18"/>
        <v>743.75</v>
      </c>
      <c r="D1216" cm="1">
        <f t="array" ref="D1216">IF(C1216="","",C1216/LOOKUP(2,1/($C$1:C1215&lt;&gt;""),$C$1:C1215)-1)</f>
        <v>-4.4489837868393334E-2</v>
      </c>
    </row>
    <row r="1217" spans="1:4" hidden="1" x14ac:dyDescent="0.25">
      <c r="A1217" s="1">
        <v>45929</v>
      </c>
      <c r="B1217" s="2">
        <v>743.4</v>
      </c>
      <c r="C1217" t="str">
        <f t="shared" si="18"/>
        <v/>
      </c>
      <c r="D1217" s="5" t="str" cm="1">
        <f t="array" ref="D1217">IF(C1217="","",C1217/LOOKUP(2,1/($C$1:C1216&lt;&gt;""),$C$1:C1216)-1)</f>
        <v/>
      </c>
    </row>
    <row r="1218" spans="1:4" hidden="1" x14ac:dyDescent="0.25">
      <c r="A1218" s="1">
        <v>45930</v>
      </c>
      <c r="B1218" s="2">
        <v>734.38</v>
      </c>
      <c r="C1218" t="str">
        <f t="shared" si="18"/>
        <v/>
      </c>
      <c r="D1218" s="5" t="str" cm="1">
        <f t="array" ref="D1218">IF(C1218="","",C1218/LOOKUP(2,1/($C$1:C1217&lt;&gt;""),$C$1:C1217)-1)</f>
        <v/>
      </c>
    </row>
    <row r="1219" spans="1:4" hidden="1" x14ac:dyDescent="0.25">
      <c r="A1219" s="1">
        <v>45931</v>
      </c>
      <c r="B1219" s="2">
        <v>717.34</v>
      </c>
      <c r="C1219" t="str">
        <f t="shared" ref="C1219:C1256" si="19">IF(WEEKNUM(A1219)&lt;&gt;WEEKNUM(A1220),B1219,"")</f>
        <v/>
      </c>
      <c r="D1219" s="5" t="str" cm="1">
        <f t="array" ref="D1219">IF(C1219="","",C1219/LOOKUP(2,1/($C$1:C1218&lt;&gt;""),$C$1:C1218)-1)</f>
        <v/>
      </c>
    </row>
    <row r="1220" spans="1:4" hidden="1" x14ac:dyDescent="0.25">
      <c r="A1220" s="1">
        <v>45932</v>
      </c>
      <c r="B1220" s="2">
        <v>727.05</v>
      </c>
      <c r="C1220" t="str">
        <f t="shared" si="19"/>
        <v/>
      </c>
      <c r="D1220" s="5" t="str" cm="1">
        <f t="array" ref="D1220">IF(C1220="","",C1220/LOOKUP(2,1/($C$1:C1219&lt;&gt;""),$C$1:C1219)-1)</f>
        <v/>
      </c>
    </row>
    <row r="1221" spans="1:4" x14ac:dyDescent="0.25">
      <c r="A1221" s="1">
        <v>45933</v>
      </c>
      <c r="B1221" s="2">
        <v>710.56</v>
      </c>
      <c r="C1221">
        <f t="shared" si="19"/>
        <v>710.56</v>
      </c>
      <c r="D1221" cm="1">
        <f t="array" ref="D1221">IF(C1221="","",C1221/LOOKUP(2,1/($C$1:C1220&lt;&gt;""),$C$1:C1220)-1)</f>
        <v>-4.462521008403364E-2</v>
      </c>
    </row>
    <row r="1222" spans="1:4" hidden="1" x14ac:dyDescent="0.25">
      <c r="A1222" s="1">
        <v>45936</v>
      </c>
      <c r="B1222" s="2">
        <v>715.66</v>
      </c>
      <c r="C1222" t="str">
        <f t="shared" si="19"/>
        <v/>
      </c>
      <c r="D1222" s="5" t="str" cm="1">
        <f t="array" ref="D1222">IF(C1222="","",C1222/LOOKUP(2,1/($C$1:C1221&lt;&gt;""),$C$1:C1221)-1)</f>
        <v/>
      </c>
    </row>
    <row r="1223" spans="1:4" hidden="1" x14ac:dyDescent="0.25">
      <c r="A1223" s="1">
        <v>45937</v>
      </c>
      <c r="B1223" s="2">
        <v>713.08</v>
      </c>
      <c r="C1223" t="str">
        <f t="shared" si="19"/>
        <v/>
      </c>
      <c r="D1223" s="5" t="str" cm="1">
        <f t="array" ref="D1223">IF(C1223="","",C1223/LOOKUP(2,1/($C$1:C1222&lt;&gt;""),$C$1:C1222)-1)</f>
        <v/>
      </c>
    </row>
    <row r="1224" spans="1:4" hidden="1" x14ac:dyDescent="0.25">
      <c r="A1224" s="1">
        <v>45938</v>
      </c>
      <c r="B1224" s="2">
        <v>717.84</v>
      </c>
      <c r="C1224" t="str">
        <f t="shared" si="19"/>
        <v/>
      </c>
      <c r="D1224" s="5" t="str" cm="1">
        <f t="array" ref="D1224">IF(C1224="","",C1224/LOOKUP(2,1/($C$1:C1223&lt;&gt;""),$C$1:C1223)-1)</f>
        <v/>
      </c>
    </row>
    <row r="1225" spans="1:4" hidden="1" x14ac:dyDescent="0.25">
      <c r="A1225" s="1">
        <v>45939</v>
      </c>
      <c r="B1225" s="2">
        <v>733.51</v>
      </c>
      <c r="C1225" t="str">
        <f t="shared" si="19"/>
        <v/>
      </c>
      <c r="D1225" s="5" t="str" cm="1">
        <f t="array" ref="D1225">IF(C1225="","",C1225/LOOKUP(2,1/($C$1:C1224&lt;&gt;""),$C$1:C1224)-1)</f>
        <v/>
      </c>
    </row>
    <row r="1226" spans="1:4" x14ac:dyDescent="0.25">
      <c r="A1226" s="1">
        <v>45940</v>
      </c>
      <c r="B1226" s="2">
        <v>705.3</v>
      </c>
      <c r="C1226">
        <f t="shared" si="19"/>
        <v>705.3</v>
      </c>
      <c r="D1226" cm="1">
        <f t="array" ref="D1226">IF(C1226="","",C1226/LOOKUP(2,1/($C$1:C1225&lt;&gt;""),$C$1:C1225)-1)</f>
        <v>-7.4026120243187998E-3</v>
      </c>
    </row>
    <row r="1227" spans="1:4" hidden="1" x14ac:dyDescent="0.25">
      <c r="A1227" s="1">
        <v>45943</v>
      </c>
      <c r="B1227" s="2">
        <v>715.7</v>
      </c>
      <c r="C1227" t="str">
        <f t="shared" si="19"/>
        <v/>
      </c>
      <c r="D1227" s="5" t="str" cm="1">
        <f t="array" ref="D1227">IF(C1227="","",C1227/LOOKUP(2,1/($C$1:C1226&lt;&gt;""),$C$1:C1226)-1)</f>
        <v/>
      </c>
    </row>
    <row r="1228" spans="1:4" hidden="1" x14ac:dyDescent="0.25">
      <c r="A1228" s="1">
        <v>45944</v>
      </c>
      <c r="B1228" s="2">
        <v>708.65</v>
      </c>
      <c r="C1228" t="str">
        <f t="shared" si="19"/>
        <v/>
      </c>
      <c r="D1228" s="5" t="str" cm="1">
        <f t="array" ref="D1228">IF(C1228="","",C1228/LOOKUP(2,1/($C$1:C1227&lt;&gt;""),$C$1:C1227)-1)</f>
        <v/>
      </c>
    </row>
    <row r="1229" spans="1:4" hidden="1" x14ac:dyDescent="0.25">
      <c r="A1229" s="1">
        <v>45945</v>
      </c>
      <c r="B1229" s="2">
        <v>717.55</v>
      </c>
      <c r="C1229" t="str">
        <f t="shared" si="19"/>
        <v/>
      </c>
      <c r="D1229" s="5" t="str" cm="1">
        <f t="array" ref="D1229">IF(C1229="","",C1229/LOOKUP(2,1/($C$1:C1228&lt;&gt;""),$C$1:C1228)-1)</f>
        <v/>
      </c>
    </row>
    <row r="1230" spans="1:4" hidden="1" x14ac:dyDescent="0.25">
      <c r="A1230" s="1">
        <v>45946</v>
      </c>
      <c r="B1230" s="2">
        <v>712.07</v>
      </c>
      <c r="C1230" t="str">
        <f t="shared" si="19"/>
        <v/>
      </c>
      <c r="D1230" s="5" t="str" cm="1">
        <f t="array" ref="D1230">IF(C1230="","",C1230/LOOKUP(2,1/($C$1:C1229&lt;&gt;""),$C$1:C1229)-1)</f>
        <v/>
      </c>
    </row>
    <row r="1231" spans="1:4" x14ac:dyDescent="0.25">
      <c r="A1231" s="1">
        <v>45947</v>
      </c>
      <c r="B1231" s="2">
        <v>716.91499999999996</v>
      </c>
      <c r="C1231">
        <f t="shared" si="19"/>
        <v>716.91499999999996</v>
      </c>
      <c r="D1231" cm="1">
        <f t="array" ref="D1231">IF(C1231="","",C1231/LOOKUP(2,1/($C$1:C1230&lt;&gt;""),$C$1:C1230)-1)</f>
        <v>1.6468169573231162E-2</v>
      </c>
    </row>
    <row r="1232" spans="1:4" hidden="1" x14ac:dyDescent="0.25">
      <c r="A1232" s="1">
        <v>45950</v>
      </c>
      <c r="B1232" s="2">
        <v>732.17</v>
      </c>
      <c r="C1232" t="str">
        <f t="shared" si="19"/>
        <v/>
      </c>
      <c r="D1232" s="5" t="str" cm="1">
        <f t="array" ref="D1232">IF(C1232="","",C1232/LOOKUP(2,1/($C$1:C1231&lt;&gt;""),$C$1:C1231)-1)</f>
        <v/>
      </c>
    </row>
    <row r="1233" spans="1:4" hidden="1" x14ac:dyDescent="0.25">
      <c r="A1233" s="1">
        <v>45951</v>
      </c>
      <c r="B1233" s="2">
        <v>733.27</v>
      </c>
      <c r="C1233" t="str">
        <f t="shared" si="19"/>
        <v/>
      </c>
      <c r="D1233" s="5" t="str" cm="1">
        <f t="array" ref="D1233">IF(C1233="","",C1233/LOOKUP(2,1/($C$1:C1232&lt;&gt;""),$C$1:C1232)-1)</f>
        <v/>
      </c>
    </row>
    <row r="1234" spans="1:4" hidden="1" x14ac:dyDescent="0.25">
      <c r="A1234" s="1">
        <v>45952</v>
      </c>
      <c r="B1234" s="2">
        <v>733.41</v>
      </c>
      <c r="C1234" t="str">
        <f t="shared" si="19"/>
        <v/>
      </c>
      <c r="D1234" s="5" t="str" cm="1">
        <f t="array" ref="D1234">IF(C1234="","",C1234/LOOKUP(2,1/($C$1:C1233&lt;&gt;""),$C$1:C1233)-1)</f>
        <v/>
      </c>
    </row>
    <row r="1235" spans="1:4" hidden="1" x14ac:dyDescent="0.25">
      <c r="A1235" s="1">
        <v>45953</v>
      </c>
      <c r="B1235" s="2">
        <v>734</v>
      </c>
      <c r="C1235" t="str">
        <f t="shared" si="19"/>
        <v/>
      </c>
      <c r="D1235" s="5" t="str" cm="1">
        <f t="array" ref="D1235">IF(C1235="","",C1235/LOOKUP(2,1/($C$1:C1234&lt;&gt;""),$C$1:C1234)-1)</f>
        <v/>
      </c>
    </row>
    <row r="1236" spans="1:4" x14ac:dyDescent="0.25">
      <c r="A1236" s="1">
        <v>45954</v>
      </c>
      <c r="B1236" s="2">
        <v>738.36</v>
      </c>
      <c r="C1236">
        <f t="shared" si="19"/>
        <v>738.36</v>
      </c>
      <c r="D1236" cm="1">
        <f t="array" ref="D1236">IF(C1236="","",C1236/LOOKUP(2,1/($C$1:C1235&lt;&gt;""),$C$1:C1235)-1)</f>
        <v>2.9912890649519186E-2</v>
      </c>
    </row>
    <row r="1237" spans="1:4" hidden="1" x14ac:dyDescent="0.25">
      <c r="A1237" s="1">
        <v>45957</v>
      </c>
      <c r="B1237" s="2">
        <v>750.82</v>
      </c>
      <c r="C1237" t="str">
        <f t="shared" si="19"/>
        <v/>
      </c>
      <c r="D1237" s="5" t="str" cm="1">
        <f t="array" ref="D1237">IF(C1237="","",C1237/LOOKUP(2,1/($C$1:C1236&lt;&gt;""),$C$1:C1236)-1)</f>
        <v/>
      </c>
    </row>
    <row r="1238" spans="1:4" hidden="1" x14ac:dyDescent="0.25">
      <c r="A1238" s="1">
        <v>45958</v>
      </c>
      <c r="B1238" s="2">
        <v>751.44</v>
      </c>
      <c r="C1238" t="str">
        <f t="shared" si="19"/>
        <v/>
      </c>
      <c r="D1238" s="5" t="str" cm="1">
        <f t="array" ref="D1238">IF(C1238="","",C1238/LOOKUP(2,1/($C$1:C1237&lt;&gt;""),$C$1:C1237)-1)</f>
        <v/>
      </c>
    </row>
    <row r="1239" spans="1:4" hidden="1" x14ac:dyDescent="0.25">
      <c r="A1239" s="1">
        <v>45959</v>
      </c>
      <c r="B1239" s="2">
        <v>751.67</v>
      </c>
      <c r="C1239" t="str">
        <f t="shared" si="19"/>
        <v/>
      </c>
      <c r="D1239" s="5" t="str" cm="1">
        <f t="array" ref="D1239">IF(C1239="","",C1239/LOOKUP(2,1/($C$1:C1238&lt;&gt;""),$C$1:C1238)-1)</f>
        <v/>
      </c>
    </row>
    <row r="1240" spans="1:4" hidden="1" x14ac:dyDescent="0.25">
      <c r="A1240" s="1">
        <v>45960</v>
      </c>
      <c r="B1240" s="2">
        <v>666.47</v>
      </c>
      <c r="C1240" t="str">
        <f t="shared" si="19"/>
        <v/>
      </c>
      <c r="D1240" s="5" t="str" cm="1">
        <f t="array" ref="D1240">IF(C1240="","",C1240/LOOKUP(2,1/($C$1:C1239&lt;&gt;""),$C$1:C1239)-1)</f>
        <v/>
      </c>
    </row>
    <row r="1241" spans="1:4" x14ac:dyDescent="0.25">
      <c r="A1241" s="1">
        <v>45961</v>
      </c>
      <c r="B1241" s="2">
        <v>648.35</v>
      </c>
      <c r="C1241">
        <f t="shared" si="19"/>
        <v>648.35</v>
      </c>
      <c r="D1241" cm="1">
        <f t="array" ref="D1241">IF(C1241="","",C1241/LOOKUP(2,1/($C$1:C1240&lt;&gt;""),$C$1:C1240)-1)</f>
        <v>-0.12190530364591801</v>
      </c>
    </row>
    <row r="1242" spans="1:4" hidden="1" x14ac:dyDescent="0.25">
      <c r="A1242" s="1">
        <v>45964</v>
      </c>
      <c r="B1242" s="2">
        <v>637.71</v>
      </c>
      <c r="C1242" t="str">
        <f t="shared" si="19"/>
        <v/>
      </c>
      <c r="D1242" s="5" t="str" cm="1">
        <f t="array" ref="D1242">IF(C1242="","",C1242/LOOKUP(2,1/($C$1:C1241&lt;&gt;""),$C$1:C1241)-1)</f>
        <v/>
      </c>
    </row>
    <row r="1243" spans="1:4" hidden="1" x14ac:dyDescent="0.25">
      <c r="A1243" s="1">
        <v>45965</v>
      </c>
      <c r="B1243" s="2">
        <v>627.32000000000005</v>
      </c>
      <c r="C1243" t="str">
        <f t="shared" si="19"/>
        <v/>
      </c>
      <c r="D1243" s="5" t="str" cm="1">
        <f t="array" ref="D1243">IF(C1243="","",C1243/LOOKUP(2,1/($C$1:C1242&lt;&gt;""),$C$1:C1242)-1)</f>
        <v/>
      </c>
    </row>
    <row r="1244" spans="1:4" hidden="1" x14ac:dyDescent="0.25">
      <c r="A1244" s="1">
        <v>45966</v>
      </c>
      <c r="B1244" s="2">
        <v>635.95000000000005</v>
      </c>
      <c r="C1244" t="str">
        <f t="shared" si="19"/>
        <v/>
      </c>
      <c r="D1244" s="5" t="str" cm="1">
        <f t="array" ref="D1244">IF(C1244="","",C1244/LOOKUP(2,1/($C$1:C1243&lt;&gt;""),$C$1:C1243)-1)</f>
        <v/>
      </c>
    </row>
    <row r="1245" spans="1:4" hidden="1" x14ac:dyDescent="0.25">
      <c r="A1245" s="1">
        <v>45967</v>
      </c>
      <c r="B1245" s="2">
        <v>618.94000000000005</v>
      </c>
      <c r="C1245" t="str">
        <f t="shared" si="19"/>
        <v/>
      </c>
      <c r="D1245" s="5" t="str" cm="1">
        <f t="array" ref="D1245">IF(C1245="","",C1245/LOOKUP(2,1/($C$1:C1244&lt;&gt;""),$C$1:C1244)-1)</f>
        <v/>
      </c>
    </row>
    <row r="1246" spans="1:4" x14ac:dyDescent="0.25">
      <c r="A1246" s="1">
        <v>45968</v>
      </c>
      <c r="B1246" s="2">
        <v>621.71</v>
      </c>
      <c r="C1246">
        <f t="shared" si="19"/>
        <v>621.71</v>
      </c>
      <c r="D1246" cm="1">
        <f t="array" ref="D1246">IF(C1246="","",C1246/LOOKUP(2,1/($C$1:C1245&lt;&gt;""),$C$1:C1245)-1)</f>
        <v>-4.1088918022672893E-2</v>
      </c>
    </row>
    <row r="1247" spans="1:4" hidden="1" x14ac:dyDescent="0.25">
      <c r="A1247" s="1">
        <v>45971</v>
      </c>
      <c r="B1247" s="2">
        <v>631.76</v>
      </c>
      <c r="C1247" t="str">
        <f t="shared" si="19"/>
        <v/>
      </c>
      <c r="D1247" s="5" t="str" cm="1">
        <f t="array" ref="D1247">IF(C1247="","",C1247/LOOKUP(2,1/($C$1:C1246&lt;&gt;""),$C$1:C1246)-1)</f>
        <v/>
      </c>
    </row>
    <row r="1248" spans="1:4" hidden="1" x14ac:dyDescent="0.25">
      <c r="A1248" s="1">
        <v>45972</v>
      </c>
      <c r="B1248" s="2">
        <v>627.08000000000004</v>
      </c>
      <c r="C1248" t="str">
        <f t="shared" si="19"/>
        <v/>
      </c>
      <c r="D1248" s="5" t="str" cm="1">
        <f t="array" ref="D1248">IF(C1248="","",C1248/LOOKUP(2,1/($C$1:C1247&lt;&gt;""),$C$1:C1247)-1)</f>
        <v/>
      </c>
    </row>
    <row r="1249" spans="1:4" hidden="1" x14ac:dyDescent="0.25">
      <c r="A1249" s="1">
        <v>45973</v>
      </c>
      <c r="B1249" s="2">
        <v>609.01</v>
      </c>
      <c r="C1249" t="str">
        <f t="shared" si="19"/>
        <v/>
      </c>
      <c r="D1249" s="5" t="str" cm="1">
        <f t="array" ref="D1249">IF(C1249="","",C1249/LOOKUP(2,1/($C$1:C1248&lt;&gt;""),$C$1:C1248)-1)</f>
        <v/>
      </c>
    </row>
    <row r="1250" spans="1:4" hidden="1" x14ac:dyDescent="0.25">
      <c r="A1250" s="1">
        <v>45974</v>
      </c>
      <c r="B1250" s="2">
        <v>609.89</v>
      </c>
      <c r="C1250" t="str">
        <f t="shared" si="19"/>
        <v/>
      </c>
      <c r="D1250" s="5" t="str" cm="1">
        <f t="array" ref="D1250">IF(C1250="","",C1250/LOOKUP(2,1/($C$1:C1249&lt;&gt;""),$C$1:C1249)-1)</f>
        <v/>
      </c>
    </row>
    <row r="1251" spans="1:4" x14ac:dyDescent="0.25">
      <c r="A1251" s="1">
        <v>45975</v>
      </c>
      <c r="B1251" s="2">
        <v>609.46</v>
      </c>
      <c r="C1251">
        <f t="shared" si="19"/>
        <v>609.46</v>
      </c>
      <c r="D1251" cm="1">
        <f t="array" ref="D1251">IF(C1251="","",C1251/LOOKUP(2,1/($C$1:C1250&lt;&gt;""),$C$1:C1250)-1)</f>
        <v>-1.9703720384101953E-2</v>
      </c>
    </row>
    <row r="1252" spans="1:4" hidden="1" x14ac:dyDescent="0.25">
      <c r="A1252" s="1">
        <v>45978</v>
      </c>
      <c r="B1252" s="2">
        <v>602.01</v>
      </c>
      <c r="C1252" t="str">
        <f t="shared" si="19"/>
        <v/>
      </c>
      <c r="D1252" s="5" t="str" cm="1">
        <f t="array" ref="D1252">IF(C1252="","",C1252/LOOKUP(2,1/($C$1:C1251&lt;&gt;""),$C$1:C1251)-1)</f>
        <v/>
      </c>
    </row>
    <row r="1253" spans="1:4" hidden="1" x14ac:dyDescent="0.25">
      <c r="A1253" s="1">
        <v>45979</v>
      </c>
      <c r="B1253" s="2">
        <v>597.69000000000005</v>
      </c>
      <c r="C1253" t="str">
        <f t="shared" si="19"/>
        <v/>
      </c>
      <c r="D1253" s="5" t="str" cm="1">
        <f t="array" ref="D1253">IF(C1253="","",C1253/LOOKUP(2,1/($C$1:C1252&lt;&gt;""),$C$1:C1252)-1)</f>
        <v/>
      </c>
    </row>
    <row r="1254" spans="1:4" hidden="1" x14ac:dyDescent="0.25">
      <c r="A1254" s="1">
        <v>45980</v>
      </c>
      <c r="B1254" s="2">
        <v>590.32000000000005</v>
      </c>
      <c r="C1254" t="str">
        <f t="shared" si="19"/>
        <v/>
      </c>
      <c r="D1254" s="5" t="str" cm="1">
        <f t="array" ref="D1254">IF(C1254="","",C1254/LOOKUP(2,1/($C$1:C1253&lt;&gt;""),$C$1:C1253)-1)</f>
        <v/>
      </c>
    </row>
    <row r="1255" spans="1:4" hidden="1" x14ac:dyDescent="0.25">
      <c r="A1255" s="1">
        <v>45981</v>
      </c>
      <c r="B1255" s="2">
        <v>589.15</v>
      </c>
      <c r="C1255" t="str">
        <f t="shared" si="19"/>
        <v/>
      </c>
      <c r="D1255" s="5" t="str" cm="1">
        <f t="array" ref="D1255">IF(C1255="","",C1255/LOOKUP(2,1/($C$1:C1254&lt;&gt;""),$C$1:C1254)-1)</f>
        <v/>
      </c>
    </row>
    <row r="1256" spans="1:4" x14ac:dyDescent="0.25">
      <c r="A1256" s="1">
        <v>45982</v>
      </c>
      <c r="B1256" s="2">
        <v>594.25</v>
      </c>
      <c r="C1256">
        <f t="shared" si="19"/>
        <v>594.25</v>
      </c>
      <c r="D1256" cm="1">
        <f t="array" ref="D1256">IF(C1256="","",C1256/LOOKUP(2,1/($C$1:C1255&lt;&gt;""),$C$1:C1255)-1)</f>
        <v>-2.4956518885570933E-2</v>
      </c>
    </row>
    <row r="1257" spans="1:4" x14ac:dyDescent="0.25">
      <c r="A1257" s="1"/>
      <c r="B1257" s="2"/>
    </row>
  </sheetData>
  <autoFilter ref="A1:D1259" xr:uid="{15A3D4DD-BA47-47E8-AA43-AB732A111EDE}">
    <filterColumn colId="2">
      <customFilters>
        <customFilter operator="notEqual" val="**"/>
      </customFilters>
    </filterColumn>
  </autoFilter>
  <sortState xmlns:xlrd2="http://schemas.microsoft.com/office/spreadsheetml/2017/richdata2" ref="A2:B1258">
    <sortCondition ref="A2:A125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6301-46D2-4018-8D38-CFFDD731CFDB}">
  <dimension ref="A2:U44"/>
  <sheetViews>
    <sheetView workbookViewId="0">
      <selection activeCell="I36" sqref="I36"/>
    </sheetView>
  </sheetViews>
  <sheetFormatPr defaultRowHeight="15" x14ac:dyDescent="0.25"/>
  <cols>
    <col min="2" max="2" width="18.85546875" customWidth="1"/>
    <col min="3" max="3" width="15" customWidth="1"/>
    <col min="7" max="7" width="14" customWidth="1"/>
    <col min="8" max="9" width="10" customWidth="1"/>
    <col min="10" max="10" width="11.7109375" customWidth="1"/>
  </cols>
  <sheetData>
    <row r="2" spans="1:21" x14ac:dyDescent="0.25">
      <c r="A2" s="3"/>
      <c r="B2" s="3"/>
      <c r="C2" s="3"/>
      <c r="D2" s="3"/>
      <c r="E2" s="3"/>
      <c r="F2" s="3"/>
      <c r="G2" s="3"/>
      <c r="H2" s="3"/>
      <c r="I2" s="3"/>
      <c r="J2" s="3"/>
      <c r="K2" s="3"/>
      <c r="L2" s="3"/>
      <c r="M2" s="3"/>
      <c r="N2" s="3"/>
      <c r="O2" s="3"/>
      <c r="P2" s="3"/>
      <c r="Q2" s="3"/>
      <c r="R2" s="3"/>
      <c r="S2" s="3"/>
      <c r="T2" s="3"/>
      <c r="U2" s="3"/>
    </row>
    <row r="3" spans="1:21" x14ac:dyDescent="0.25">
      <c r="A3" s="3"/>
      <c r="B3" s="3"/>
      <c r="C3" s="3"/>
      <c r="D3" s="3"/>
      <c r="E3" s="3"/>
      <c r="F3" s="3"/>
      <c r="G3" s="3"/>
      <c r="H3" s="3"/>
      <c r="I3" s="3"/>
      <c r="J3" s="3"/>
      <c r="K3" s="3"/>
      <c r="L3" s="3"/>
      <c r="M3" s="3"/>
      <c r="N3" s="3"/>
      <c r="O3" s="3"/>
      <c r="P3" s="3"/>
      <c r="Q3" s="3"/>
      <c r="R3" s="3"/>
      <c r="S3" s="3"/>
      <c r="T3" s="3"/>
      <c r="U3" s="3"/>
    </row>
    <row r="4" spans="1:21" x14ac:dyDescent="0.25">
      <c r="A4" s="3"/>
      <c r="B4" s="7" t="s">
        <v>15</v>
      </c>
      <c r="C4" s="7"/>
      <c r="D4" s="3"/>
      <c r="E4" s="3"/>
      <c r="F4" s="3"/>
      <c r="G4" s="3"/>
      <c r="H4" s="3"/>
      <c r="I4" s="3"/>
      <c r="J4" s="3"/>
      <c r="K4" s="3"/>
      <c r="L4" s="3"/>
      <c r="M4" s="3"/>
      <c r="N4" s="3"/>
      <c r="O4" s="3"/>
      <c r="P4" s="3"/>
      <c r="Q4" s="3"/>
      <c r="R4" s="3"/>
      <c r="S4" s="3"/>
      <c r="T4" s="3"/>
      <c r="U4" s="3"/>
    </row>
    <row r="5" spans="1:21" x14ac:dyDescent="0.25">
      <c r="A5" s="3"/>
      <c r="B5" s="7" t="s">
        <v>16</v>
      </c>
      <c r="C5" s="7"/>
      <c r="D5" s="3"/>
      <c r="E5" s="3"/>
      <c r="F5" s="3"/>
      <c r="G5" s="3"/>
      <c r="H5" s="3"/>
      <c r="I5" s="3"/>
      <c r="J5" s="3"/>
      <c r="K5" s="3"/>
      <c r="L5" s="3"/>
      <c r="M5" s="3"/>
      <c r="N5" s="3"/>
      <c r="O5" s="3"/>
      <c r="P5" s="3"/>
      <c r="Q5" s="3"/>
      <c r="R5" s="3"/>
      <c r="S5" s="3"/>
      <c r="T5" s="3"/>
      <c r="U5" s="3"/>
    </row>
    <row r="6" spans="1:21" x14ac:dyDescent="0.25">
      <c r="A6" s="3"/>
      <c r="B6" s="7" t="s">
        <v>17</v>
      </c>
      <c r="C6" s="7">
        <v>594.25</v>
      </c>
      <c r="D6" s="3"/>
      <c r="E6" s="3"/>
      <c r="F6" s="3"/>
      <c r="G6" s="3"/>
      <c r="H6" s="3"/>
      <c r="I6" s="3"/>
      <c r="J6" s="3"/>
      <c r="K6" s="3"/>
      <c r="L6" s="3"/>
      <c r="M6" s="3"/>
      <c r="N6" s="3"/>
      <c r="O6" s="3"/>
      <c r="P6" s="3"/>
      <c r="Q6" s="3"/>
      <c r="R6" s="3"/>
      <c r="S6" s="3"/>
      <c r="T6" s="3"/>
      <c r="U6" s="3"/>
    </row>
    <row r="7" spans="1:21" x14ac:dyDescent="0.25">
      <c r="A7" s="3"/>
      <c r="B7" s="7" t="s">
        <v>18</v>
      </c>
      <c r="C7" s="7">
        <v>620</v>
      </c>
      <c r="D7" s="3"/>
      <c r="E7" s="3"/>
      <c r="F7" s="3"/>
      <c r="G7" s="3"/>
      <c r="H7" s="3"/>
      <c r="I7" s="3"/>
      <c r="J7" s="3"/>
      <c r="K7" s="3"/>
      <c r="L7" s="3"/>
      <c r="M7" s="3"/>
      <c r="N7" s="3"/>
      <c r="O7" s="3"/>
      <c r="P7" s="3"/>
      <c r="Q7" s="3"/>
      <c r="R7" s="3"/>
      <c r="S7" s="3"/>
      <c r="T7" s="3"/>
      <c r="U7" s="3"/>
    </row>
    <row r="8" spans="1:21" x14ac:dyDescent="0.25">
      <c r="A8" s="3"/>
      <c r="B8" s="7" t="s">
        <v>22</v>
      </c>
      <c r="C8" s="7">
        <v>0.25</v>
      </c>
      <c r="D8" s="3"/>
      <c r="E8" s="3"/>
      <c r="F8" s="3"/>
      <c r="G8" s="3"/>
      <c r="H8" s="3"/>
      <c r="I8" s="3"/>
      <c r="J8" s="3"/>
      <c r="K8" s="3"/>
      <c r="L8" s="3"/>
      <c r="M8" s="3"/>
      <c r="N8" s="3"/>
      <c r="O8" s="3"/>
      <c r="P8" s="3"/>
      <c r="Q8" s="3"/>
      <c r="R8" s="3"/>
      <c r="S8" s="3"/>
      <c r="T8" s="3"/>
      <c r="U8" s="3"/>
    </row>
    <row r="9" spans="1:21" x14ac:dyDescent="0.25">
      <c r="A9" s="3"/>
      <c r="B9" s="7" t="s">
        <v>19</v>
      </c>
      <c r="C9" s="7">
        <f>36.95-37.55</f>
        <v>-0.59999999999999432</v>
      </c>
      <c r="D9" s="3"/>
      <c r="E9" s="3"/>
      <c r="F9" s="3"/>
      <c r="G9" s="3"/>
      <c r="H9" s="3"/>
      <c r="I9" s="3"/>
      <c r="J9" s="3"/>
      <c r="K9" s="3"/>
      <c r="L9" s="3"/>
      <c r="M9" s="3"/>
      <c r="N9" s="3"/>
      <c r="O9" s="3"/>
      <c r="P9" s="3"/>
      <c r="Q9" s="3"/>
      <c r="R9" s="3"/>
      <c r="S9" s="3"/>
      <c r="T9" s="3"/>
      <c r="U9" s="3"/>
    </row>
    <row r="10" spans="1:21" x14ac:dyDescent="0.25">
      <c r="A10" s="3"/>
      <c r="B10" s="7" t="s">
        <v>20</v>
      </c>
      <c r="C10" s="7">
        <f>'Historical data'!G23</f>
        <v>1.1546529784990081</v>
      </c>
      <c r="D10" s="3"/>
      <c r="E10" s="3"/>
      <c r="F10" s="3"/>
      <c r="G10" s="3"/>
      <c r="H10" s="3"/>
      <c r="I10" s="3"/>
      <c r="J10" s="3"/>
      <c r="K10" s="3"/>
      <c r="L10" s="3"/>
      <c r="M10" s="3"/>
      <c r="N10" s="3"/>
      <c r="O10" s="3"/>
      <c r="P10" s="3"/>
      <c r="Q10" s="3"/>
      <c r="R10" s="3"/>
      <c r="S10" s="3"/>
      <c r="T10" s="3"/>
      <c r="U10" s="3"/>
    </row>
    <row r="11" spans="1:21" x14ac:dyDescent="0.25">
      <c r="A11" s="3"/>
      <c r="B11" s="7" t="s">
        <v>21</v>
      </c>
      <c r="C11" s="7">
        <f>'Historical data'!G27</f>
        <v>0.86606107516385633</v>
      </c>
      <c r="D11" s="3"/>
      <c r="E11" s="3"/>
      <c r="F11" s="3"/>
      <c r="G11" s="3"/>
      <c r="H11" s="3"/>
      <c r="I11" s="3"/>
      <c r="J11" s="3"/>
      <c r="K11" s="3"/>
      <c r="L11" s="3"/>
      <c r="M11" s="3"/>
      <c r="N11" s="3"/>
      <c r="O11" s="3"/>
      <c r="P11" s="3"/>
      <c r="Q11" s="3"/>
      <c r="R11" s="3"/>
      <c r="S11" s="3"/>
      <c r="T11" s="3"/>
      <c r="U11" s="3"/>
    </row>
    <row r="12" spans="1:21" x14ac:dyDescent="0.25">
      <c r="A12" s="3"/>
      <c r="B12" s="7" t="s">
        <v>23</v>
      </c>
      <c r="C12" s="8">
        <v>3.8339999999999999E-2</v>
      </c>
      <c r="D12" s="6" t="s">
        <v>24</v>
      </c>
      <c r="E12" s="3"/>
      <c r="F12" s="3"/>
      <c r="G12" s="3"/>
      <c r="H12" s="3"/>
      <c r="I12" s="3"/>
      <c r="J12" s="3"/>
      <c r="K12" s="3"/>
      <c r="L12" s="3"/>
      <c r="M12" s="3"/>
      <c r="N12" s="3"/>
      <c r="O12" s="3"/>
      <c r="P12" s="3"/>
      <c r="Q12" s="3"/>
      <c r="R12" s="3"/>
      <c r="S12" s="3"/>
      <c r="T12" s="3"/>
      <c r="U12" s="3"/>
    </row>
    <row r="13" spans="1:21" x14ac:dyDescent="0.25">
      <c r="A13" s="3"/>
      <c r="B13" s="7" t="s">
        <v>34</v>
      </c>
      <c r="C13" s="7">
        <f xml:space="preserve"> C12 * (C8 / 2)</f>
        <v>4.7924999999999999E-3</v>
      </c>
      <c r="D13" s="3"/>
      <c r="E13" s="3"/>
      <c r="F13" s="3"/>
      <c r="G13" s="3"/>
      <c r="H13" s="3"/>
      <c r="I13" s="3"/>
      <c r="J13" s="3"/>
      <c r="K13" s="3"/>
      <c r="L13" s="3"/>
      <c r="M13" s="3"/>
      <c r="N13" s="3"/>
      <c r="O13" s="3"/>
      <c r="P13" s="3"/>
      <c r="Q13" s="3"/>
      <c r="R13" s="3"/>
      <c r="S13" s="3"/>
      <c r="T13" s="3"/>
      <c r="U13" s="3"/>
    </row>
    <row r="14" spans="1:21" x14ac:dyDescent="0.25">
      <c r="A14" s="3"/>
      <c r="B14" s="7" t="s">
        <v>35</v>
      </c>
      <c r="C14" s="7">
        <f xml:space="preserve"> ((1 + C13) - C11) / (C10 - C11)</f>
        <v>0.4807183543019572</v>
      </c>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t="s">
        <v>25</v>
      </c>
      <c r="E18" s="3" t="s">
        <v>26</v>
      </c>
      <c r="F18" s="3" t="s">
        <v>27</v>
      </c>
      <c r="G18" s="3" t="s">
        <v>31</v>
      </c>
      <c r="H18" s="3" t="s">
        <v>32</v>
      </c>
      <c r="I18" s="3" t="s">
        <v>33</v>
      </c>
      <c r="J18" s="3" t="s">
        <v>36</v>
      </c>
      <c r="K18" s="3"/>
      <c r="L18" s="3"/>
      <c r="M18" s="3"/>
      <c r="N18" s="3"/>
      <c r="O18" s="3"/>
      <c r="P18" s="3"/>
      <c r="Q18" s="3"/>
      <c r="R18" s="3"/>
      <c r="S18" s="3"/>
      <c r="T18" s="3"/>
      <c r="U18" s="3"/>
    </row>
    <row r="19" spans="1:21" x14ac:dyDescent="0.25">
      <c r="A19" s="3"/>
      <c r="B19" s="3"/>
      <c r="C19" s="3" t="s">
        <v>28</v>
      </c>
      <c r="D19" s="3">
        <f>$C$6</f>
        <v>594.25</v>
      </c>
      <c r="E19" s="3">
        <f xml:space="preserve"> D19 * $C$10</f>
        <v>686.15253247303554</v>
      </c>
      <c r="F19" s="3">
        <f xml:space="preserve"> E19 * $C$10</f>
        <v>792.26806532462786</v>
      </c>
      <c r="G19" s="3">
        <f>MAX(F19 - $C$7, 0)</f>
        <v>172.26806532462786</v>
      </c>
      <c r="H19" s="3">
        <f xml:space="preserve"> ( $C$14 * G19 + (1 - $C$14) * G20 ) / (1 + $C$13)</f>
        <v>82.417435302947794</v>
      </c>
      <c r="I19" s="3">
        <f xml:space="preserve"> ( $C$14 * H19 + (1 - $C$14) * H20 ) / (1 + $C$13)</f>
        <v>39.430602701175715</v>
      </c>
      <c r="J19" s="3">
        <f xml:space="preserve"> (H19- H20)/(E19 - E20)</f>
        <v>0.48058007736207448</v>
      </c>
      <c r="K19" s="3"/>
      <c r="L19" s="3"/>
      <c r="M19" s="3"/>
      <c r="N19" s="3"/>
      <c r="O19" s="3"/>
      <c r="P19" s="3"/>
      <c r="Q19" s="3"/>
      <c r="R19" s="3"/>
      <c r="S19" s="3"/>
      <c r="T19" s="3"/>
      <c r="U19" s="3"/>
    </row>
    <row r="20" spans="1:21" x14ac:dyDescent="0.25">
      <c r="A20" s="3"/>
      <c r="B20" s="3"/>
      <c r="C20" s="3" t="s">
        <v>29</v>
      </c>
      <c r="D20" s="3"/>
      <c r="E20" s="3">
        <f xml:space="preserve"> D19 * $C$11</f>
        <v>514.65679391612161</v>
      </c>
      <c r="F20" s="3">
        <f xml:space="preserve"> E19 * $C$11</f>
        <v>594.25</v>
      </c>
      <c r="G20" s="3">
        <f>MAX(F20 - $C$7, 0)</f>
        <v>0</v>
      </c>
      <c r="H20" s="3">
        <f xml:space="preserve"> ( $C$14 * G20 + (1 - $C$14) * G21 ) / (1 + $C$13)</f>
        <v>0</v>
      </c>
      <c r="I20" s="3"/>
      <c r="J20" s="3"/>
      <c r="K20" s="3"/>
      <c r="L20" s="3"/>
      <c r="M20" s="3"/>
      <c r="N20" s="3"/>
      <c r="O20" s="3"/>
      <c r="P20" s="3"/>
      <c r="Q20" s="3"/>
      <c r="R20" s="3"/>
      <c r="S20" s="3"/>
      <c r="T20" s="3"/>
      <c r="U20" s="3"/>
    </row>
    <row r="21" spans="1:21" x14ac:dyDescent="0.25">
      <c r="A21" s="3"/>
      <c r="B21" s="3"/>
      <c r="C21" s="3" t="s">
        <v>30</v>
      </c>
      <c r="D21" s="3"/>
      <c r="E21" s="3"/>
      <c r="F21" s="3">
        <f xml:space="preserve"> E20 * $C$11</f>
        <v>445.7242162793795</v>
      </c>
      <c r="G21" s="3">
        <f>MAX(F21 - $C$7, 0)</f>
        <v>0</v>
      </c>
      <c r="H21" s="3">
        <v>0</v>
      </c>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row r="23" spans="1:21" x14ac:dyDescent="0.25">
      <c r="A23" s="3"/>
      <c r="B23" s="3"/>
      <c r="C23" s="3"/>
      <c r="D23" s="3"/>
      <c r="E23" s="3"/>
      <c r="F23" s="3"/>
      <c r="G23" s="3"/>
      <c r="H23" s="3"/>
      <c r="I23" s="3"/>
      <c r="J23" s="3"/>
      <c r="K23" s="3"/>
      <c r="L23" s="3"/>
      <c r="M23" s="3"/>
      <c r="N23" s="3"/>
      <c r="O23" s="3"/>
      <c r="P23" s="3"/>
      <c r="Q23" s="3"/>
      <c r="R23" s="3"/>
      <c r="S23" s="3"/>
      <c r="T23" s="3"/>
      <c r="U23" s="3"/>
    </row>
    <row r="24" spans="1:21" x14ac:dyDescent="0.25">
      <c r="A24" s="3"/>
      <c r="B24" s="3"/>
      <c r="C24" s="3"/>
      <c r="D24" s="3"/>
      <c r="E24" s="3"/>
      <c r="F24" s="3"/>
      <c r="G24" s="3"/>
      <c r="H24" s="3"/>
      <c r="I24" s="3"/>
      <c r="J24" s="3"/>
      <c r="K24" s="3"/>
      <c r="L24" s="3"/>
      <c r="M24" s="3"/>
      <c r="N24" s="3"/>
      <c r="O24" s="3"/>
      <c r="P24" s="3"/>
      <c r="Q24" s="3"/>
      <c r="R24" s="3"/>
      <c r="S24" s="3"/>
      <c r="T24" s="3"/>
      <c r="U24" s="3"/>
    </row>
    <row r="25" spans="1:21" x14ac:dyDescent="0.25">
      <c r="A25" s="3"/>
      <c r="B25" s="3"/>
      <c r="C25" s="3"/>
      <c r="D25" s="3"/>
      <c r="E25" s="3"/>
      <c r="F25" s="3"/>
      <c r="G25" s="3"/>
      <c r="H25" s="3"/>
      <c r="I25" s="3"/>
      <c r="J25" s="3"/>
      <c r="K25" s="3"/>
      <c r="L25" s="3"/>
      <c r="M25" s="3"/>
      <c r="N25" s="3"/>
      <c r="O25" s="3"/>
      <c r="P25" s="3"/>
      <c r="Q25" s="3"/>
      <c r="R25" s="3"/>
      <c r="S25" s="3"/>
      <c r="T25" s="3"/>
      <c r="U25" s="3"/>
    </row>
    <row r="26" spans="1:21" x14ac:dyDescent="0.25">
      <c r="A26" s="3"/>
      <c r="B26" s="3"/>
      <c r="C26" s="3"/>
      <c r="D26" s="3"/>
      <c r="E26" s="3"/>
      <c r="F26" s="3"/>
      <c r="G26" s="3"/>
      <c r="H26" s="3"/>
      <c r="I26" s="3"/>
      <c r="J26" s="3"/>
      <c r="K26" s="3"/>
      <c r="L26" s="3"/>
      <c r="M26" s="3"/>
      <c r="N26" s="3"/>
      <c r="O26" s="3"/>
      <c r="P26" s="3"/>
      <c r="Q26" s="3"/>
      <c r="R26" s="3"/>
      <c r="S26" s="3"/>
      <c r="T26" s="3"/>
      <c r="U26" s="3"/>
    </row>
    <row r="27" spans="1:21" x14ac:dyDescent="0.25">
      <c r="A27" s="3"/>
      <c r="B27" s="3"/>
      <c r="C27" s="3"/>
      <c r="D27" s="3"/>
      <c r="E27" s="3"/>
      <c r="F27" s="3"/>
      <c r="G27" s="3"/>
      <c r="H27" s="3"/>
      <c r="I27" s="3"/>
      <c r="J27" s="3"/>
      <c r="K27" s="3"/>
      <c r="L27" s="3"/>
      <c r="M27" s="3"/>
      <c r="N27" s="3"/>
      <c r="O27" s="3"/>
      <c r="P27" s="3"/>
      <c r="Q27" s="3"/>
      <c r="R27" s="3"/>
      <c r="S27" s="3"/>
      <c r="T27" s="3"/>
      <c r="U27" s="3"/>
    </row>
    <row r="28" spans="1:21" x14ac:dyDescent="0.25">
      <c r="A28" s="3"/>
      <c r="B28" s="3"/>
      <c r="C28" s="3"/>
      <c r="D28" s="3"/>
      <c r="E28" s="3"/>
      <c r="F28" s="3"/>
      <c r="G28" s="3"/>
      <c r="H28" s="3"/>
      <c r="I28" s="3"/>
      <c r="J28" s="3"/>
      <c r="K28" s="3"/>
      <c r="L28" s="3"/>
      <c r="M28" s="3"/>
      <c r="N28" s="3"/>
      <c r="O28" s="3"/>
      <c r="P28" s="3"/>
      <c r="Q28" s="3"/>
      <c r="R28" s="3"/>
      <c r="S28" s="3"/>
      <c r="T28" s="3"/>
      <c r="U28" s="3"/>
    </row>
    <row r="29" spans="1:21" x14ac:dyDescent="0.25">
      <c r="A29" s="3"/>
      <c r="B29" s="3"/>
      <c r="C29" s="3"/>
      <c r="D29" s="3"/>
      <c r="E29" s="3"/>
      <c r="F29" s="3"/>
      <c r="G29" s="3"/>
      <c r="H29" s="3"/>
      <c r="I29" s="3"/>
      <c r="J29" s="3"/>
      <c r="K29" s="3"/>
      <c r="L29" s="3"/>
      <c r="M29" s="3"/>
      <c r="N29" s="3"/>
      <c r="O29" s="3"/>
      <c r="P29" s="3"/>
      <c r="Q29" s="3"/>
      <c r="R29" s="3"/>
      <c r="S29" s="3"/>
      <c r="T29" s="3"/>
      <c r="U29" s="3"/>
    </row>
    <row r="30" spans="1:21" x14ac:dyDescent="0.25">
      <c r="A30" s="3"/>
      <c r="B30" s="3"/>
      <c r="C30" s="3"/>
      <c r="D30" s="3"/>
      <c r="E30" s="3"/>
      <c r="F30" s="3"/>
      <c r="G30" s="3"/>
      <c r="H30" s="3"/>
      <c r="I30" s="3"/>
      <c r="J30" s="3"/>
      <c r="K30" s="3"/>
      <c r="L30" s="3"/>
      <c r="M30" s="3"/>
      <c r="N30" s="3"/>
      <c r="O30" s="3"/>
      <c r="P30" s="3"/>
      <c r="Q30" s="3"/>
      <c r="R30" s="3"/>
      <c r="S30" s="3"/>
      <c r="T30" s="3"/>
      <c r="U30" s="3"/>
    </row>
    <row r="31" spans="1:21" x14ac:dyDescent="0.25">
      <c r="A31" s="3"/>
      <c r="B31" s="3"/>
      <c r="C31" s="3"/>
      <c r="D31" s="3"/>
      <c r="E31" s="3"/>
      <c r="F31" s="3"/>
      <c r="G31" s="3"/>
      <c r="H31" s="3"/>
      <c r="I31" s="3"/>
      <c r="J31" s="3"/>
      <c r="K31" s="3"/>
      <c r="L31" s="3"/>
      <c r="M31" s="3"/>
      <c r="N31" s="3"/>
      <c r="O31" s="3"/>
      <c r="P31" s="3"/>
      <c r="Q31" s="3"/>
      <c r="R31" s="3"/>
      <c r="S31" s="3"/>
      <c r="T31" s="3"/>
      <c r="U31" s="3"/>
    </row>
    <row r="32" spans="1:21" x14ac:dyDescent="0.25">
      <c r="A32" s="3"/>
      <c r="B32" s="3"/>
      <c r="C32" s="3"/>
      <c r="D32" s="3"/>
      <c r="E32" s="3"/>
      <c r="F32" s="3"/>
      <c r="G32" s="3"/>
      <c r="H32" s="3"/>
      <c r="I32" s="3"/>
      <c r="J32" s="3"/>
      <c r="K32" s="3"/>
      <c r="L32" s="3"/>
      <c r="M32" s="3"/>
      <c r="N32" s="3"/>
      <c r="O32" s="3"/>
      <c r="P32" s="3"/>
      <c r="Q32" s="3"/>
      <c r="R32" s="3"/>
      <c r="S32" s="3"/>
      <c r="T32" s="3"/>
      <c r="U32" s="3"/>
    </row>
    <row r="33" spans="1:21" x14ac:dyDescent="0.25">
      <c r="A33" s="3"/>
      <c r="B33" s="3"/>
      <c r="C33" s="3"/>
      <c r="D33" s="3"/>
      <c r="E33" s="3"/>
      <c r="F33" s="3"/>
      <c r="G33" s="3"/>
      <c r="H33" s="3"/>
      <c r="I33" s="3"/>
      <c r="J33" s="3"/>
      <c r="K33" s="3"/>
      <c r="L33" s="3"/>
      <c r="M33" s="3"/>
      <c r="N33" s="3"/>
      <c r="O33" s="3"/>
      <c r="P33" s="3"/>
      <c r="Q33" s="3"/>
      <c r="R33" s="3"/>
      <c r="S33" s="3"/>
      <c r="T33" s="3"/>
      <c r="U33" s="3"/>
    </row>
    <row r="34" spans="1:21" x14ac:dyDescent="0.25">
      <c r="A34" s="3"/>
      <c r="B34" s="3"/>
      <c r="C34" s="3"/>
      <c r="D34" s="3"/>
      <c r="E34" s="3"/>
      <c r="F34" s="3"/>
      <c r="G34" s="3"/>
      <c r="H34" s="3"/>
      <c r="I34" s="3"/>
      <c r="J34" s="3"/>
      <c r="K34" s="3"/>
      <c r="L34" s="3"/>
      <c r="M34" s="3"/>
      <c r="N34" s="3"/>
      <c r="O34" s="3"/>
      <c r="P34" s="3"/>
      <c r="Q34" s="3"/>
      <c r="R34" s="3"/>
      <c r="S34" s="3"/>
      <c r="T34" s="3"/>
      <c r="U34" s="3"/>
    </row>
    <row r="35" spans="1:21" x14ac:dyDescent="0.25">
      <c r="A35" s="3"/>
      <c r="B35" s="3"/>
      <c r="C35" s="3"/>
      <c r="D35" s="3"/>
      <c r="E35" s="3"/>
      <c r="F35" s="3"/>
      <c r="G35" s="3"/>
      <c r="H35" s="3"/>
      <c r="I35" s="3"/>
      <c r="J35" s="3"/>
      <c r="K35" s="3"/>
      <c r="L35" s="3"/>
      <c r="M35" s="3"/>
      <c r="N35" s="3"/>
      <c r="O35" s="3"/>
      <c r="P35" s="3"/>
      <c r="Q35" s="3"/>
      <c r="R35" s="3"/>
      <c r="S35" s="3"/>
      <c r="T35" s="3"/>
      <c r="U35" s="3"/>
    </row>
    <row r="36" spans="1:21" x14ac:dyDescent="0.25">
      <c r="A36" s="3"/>
      <c r="B36" s="3"/>
      <c r="C36" s="3"/>
      <c r="D36" s="3"/>
      <c r="E36" s="3"/>
      <c r="F36" s="3"/>
      <c r="G36" s="3"/>
      <c r="H36" s="3"/>
      <c r="I36" s="3"/>
      <c r="J36" s="3"/>
      <c r="K36" s="3"/>
      <c r="L36" s="3"/>
      <c r="M36" s="3"/>
      <c r="N36" s="3"/>
      <c r="O36" s="3"/>
      <c r="P36" s="3"/>
      <c r="Q36" s="3"/>
      <c r="R36" s="3"/>
      <c r="S36" s="3"/>
      <c r="T36" s="3"/>
      <c r="U36" s="3"/>
    </row>
    <row r="37" spans="1:21" x14ac:dyDescent="0.25">
      <c r="A37" s="3"/>
      <c r="B37" s="3"/>
      <c r="C37" s="3"/>
      <c r="D37" s="3"/>
      <c r="E37" s="3"/>
      <c r="F37" s="3"/>
      <c r="G37" s="3"/>
      <c r="H37" s="3"/>
      <c r="I37" s="3"/>
      <c r="J37" s="3"/>
      <c r="K37" s="3"/>
      <c r="L37" s="3"/>
      <c r="M37" s="3"/>
      <c r="N37" s="3"/>
      <c r="O37" s="3"/>
      <c r="P37" s="3"/>
      <c r="Q37" s="3"/>
      <c r="R37" s="3"/>
      <c r="S37" s="3"/>
      <c r="T37" s="3"/>
      <c r="U37" s="3"/>
    </row>
    <row r="38" spans="1:21" x14ac:dyDescent="0.25">
      <c r="A38" s="3"/>
      <c r="B38" s="3"/>
      <c r="C38" s="3"/>
      <c r="D38" s="3"/>
      <c r="E38" s="3"/>
      <c r="F38" s="3"/>
      <c r="G38" s="3"/>
      <c r="H38" s="3"/>
      <c r="I38" s="3"/>
      <c r="J38" s="3"/>
      <c r="K38" s="3"/>
      <c r="L38" s="3"/>
      <c r="M38" s="3"/>
      <c r="N38" s="3"/>
      <c r="O38" s="3"/>
      <c r="P38" s="3"/>
      <c r="Q38" s="3"/>
      <c r="R38" s="3"/>
      <c r="S38" s="3"/>
      <c r="T38" s="3"/>
      <c r="U38" s="3"/>
    </row>
    <row r="39" spans="1:21" x14ac:dyDescent="0.25">
      <c r="A39" s="3"/>
      <c r="B39" s="3"/>
      <c r="C39" s="3"/>
      <c r="D39" s="3"/>
      <c r="E39" s="3"/>
      <c r="F39" s="3"/>
      <c r="G39" s="3"/>
      <c r="H39" s="3"/>
      <c r="I39" s="3"/>
      <c r="J39" s="3"/>
      <c r="K39" s="3"/>
      <c r="L39" s="3"/>
      <c r="M39" s="3"/>
      <c r="N39" s="3"/>
      <c r="O39" s="3"/>
      <c r="P39" s="3"/>
      <c r="Q39" s="3"/>
      <c r="R39" s="3"/>
      <c r="S39" s="3"/>
      <c r="T39" s="3"/>
      <c r="U39" s="3"/>
    </row>
    <row r="40" spans="1:21" x14ac:dyDescent="0.25">
      <c r="A40" s="3"/>
      <c r="B40" s="3"/>
      <c r="C40" s="3"/>
      <c r="D40" s="3"/>
      <c r="E40" s="3"/>
      <c r="F40" s="3"/>
      <c r="G40" s="3"/>
      <c r="H40" s="3"/>
      <c r="I40" s="3"/>
      <c r="J40" s="3"/>
      <c r="K40" s="3"/>
      <c r="L40" s="3"/>
      <c r="M40" s="3"/>
      <c r="N40" s="3"/>
      <c r="O40" s="3"/>
      <c r="P40" s="3"/>
      <c r="Q40" s="3"/>
      <c r="R40" s="3"/>
      <c r="S40" s="3"/>
      <c r="T40" s="3"/>
      <c r="U40" s="3"/>
    </row>
    <row r="41" spans="1:21" x14ac:dyDescent="0.25">
      <c r="A41" s="3"/>
      <c r="B41" s="3"/>
      <c r="C41" s="3"/>
      <c r="D41" s="3"/>
      <c r="E41" s="3"/>
      <c r="F41" s="3"/>
      <c r="G41" s="3"/>
      <c r="H41" s="3"/>
      <c r="I41" s="3"/>
      <c r="J41" s="3"/>
      <c r="K41" s="3"/>
      <c r="L41" s="3"/>
      <c r="M41" s="3"/>
      <c r="N41" s="3"/>
      <c r="O41" s="3"/>
      <c r="P41" s="3"/>
      <c r="Q41" s="3"/>
      <c r="R41" s="3"/>
      <c r="S41" s="3"/>
      <c r="T41" s="3"/>
      <c r="U41" s="3"/>
    </row>
    <row r="42" spans="1:21" x14ac:dyDescent="0.25">
      <c r="A42" s="3"/>
      <c r="B42" s="3"/>
      <c r="C42" s="3"/>
      <c r="D42" s="3"/>
      <c r="E42" s="3"/>
      <c r="F42" s="3"/>
      <c r="G42" s="3"/>
      <c r="H42" s="3"/>
      <c r="I42" s="3"/>
      <c r="J42" s="3"/>
      <c r="K42" s="3"/>
      <c r="L42" s="3"/>
      <c r="M42" s="3"/>
      <c r="N42" s="3"/>
      <c r="O42" s="3"/>
      <c r="P42" s="3"/>
      <c r="Q42" s="3"/>
      <c r="R42" s="3"/>
      <c r="S42" s="3"/>
      <c r="T42" s="3"/>
      <c r="U42" s="3"/>
    </row>
    <row r="43" spans="1:21" x14ac:dyDescent="0.25">
      <c r="A43" s="3"/>
      <c r="B43" s="3"/>
      <c r="C43" s="3"/>
      <c r="D43" s="3"/>
      <c r="E43" s="3"/>
      <c r="F43" s="3"/>
      <c r="G43" s="3"/>
      <c r="H43" s="3"/>
      <c r="I43" s="3"/>
      <c r="J43" s="3"/>
      <c r="K43" s="3"/>
      <c r="L43" s="3"/>
      <c r="M43" s="3"/>
      <c r="N43" s="3"/>
      <c r="O43" s="3"/>
      <c r="P43" s="3"/>
      <c r="Q43" s="3"/>
      <c r="R43" s="3"/>
      <c r="S43" s="3"/>
      <c r="T43" s="3"/>
      <c r="U43" s="3"/>
    </row>
    <row r="44" spans="1:21" x14ac:dyDescent="0.25">
      <c r="A44" s="3"/>
      <c r="B44" s="3"/>
      <c r="C44" s="3"/>
      <c r="D44" s="3"/>
      <c r="E44" s="3"/>
      <c r="F44" s="3"/>
      <c r="G44" s="3"/>
      <c r="H44" s="3"/>
      <c r="I44" s="3"/>
      <c r="J44" s="3"/>
      <c r="K44" s="3"/>
      <c r="L44" s="3"/>
      <c r="M44" s="3"/>
      <c r="N44" s="3"/>
      <c r="O44" s="3"/>
      <c r="P44" s="3"/>
      <c r="Q44" s="3"/>
      <c r="R44" s="3"/>
      <c r="S44" s="3"/>
      <c r="T44" s="3"/>
      <c r="U44" s="3"/>
    </row>
  </sheetData>
  <hyperlinks>
    <hyperlink ref="D12" r:id="rId1" xr:uid="{8D63622A-D019-4909-BFDE-B589AA4AB06B}"/>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EADE-812B-422E-B0D6-5A2BF96EE67E}">
  <dimension ref="A1:R105"/>
  <sheetViews>
    <sheetView tabSelected="1" workbookViewId="0">
      <selection activeCell="D23" sqref="D23"/>
    </sheetView>
  </sheetViews>
  <sheetFormatPr defaultRowHeight="15" x14ac:dyDescent="0.25"/>
  <cols>
    <col min="2" max="2" width="19.7109375" customWidth="1"/>
    <col min="4" max="4" width="17.28515625" customWidth="1"/>
    <col min="5" max="5" width="11.7109375" customWidth="1"/>
  </cols>
  <sheetData>
    <row r="1" spans="1:18" x14ac:dyDescent="0.25">
      <c r="A1" s="3"/>
      <c r="B1" s="3"/>
      <c r="C1" s="3"/>
      <c r="D1" s="3"/>
      <c r="E1" s="3"/>
      <c r="F1" s="3"/>
      <c r="G1" s="3"/>
      <c r="H1" s="3"/>
      <c r="I1" s="3"/>
      <c r="J1" s="3"/>
      <c r="K1" s="3"/>
      <c r="L1" s="3"/>
      <c r="M1" s="3"/>
      <c r="N1" s="3"/>
      <c r="O1" s="3"/>
      <c r="P1" s="3"/>
      <c r="Q1" s="3"/>
      <c r="R1" s="3"/>
    </row>
    <row r="2" spans="1:18" x14ac:dyDescent="0.25">
      <c r="A2" s="3"/>
      <c r="B2" s="3"/>
      <c r="C2" s="3"/>
      <c r="D2" s="3"/>
      <c r="E2" s="3"/>
      <c r="F2" s="3"/>
      <c r="G2" s="3"/>
      <c r="H2" s="3"/>
      <c r="I2" s="3"/>
      <c r="J2" s="3"/>
      <c r="K2" s="3"/>
      <c r="L2" s="3"/>
      <c r="M2" s="3"/>
      <c r="N2" s="3"/>
      <c r="O2" s="3"/>
      <c r="P2" s="3"/>
      <c r="Q2" s="3"/>
      <c r="R2" s="3"/>
    </row>
    <row r="3" spans="1:18" x14ac:dyDescent="0.25">
      <c r="A3" s="3"/>
      <c r="B3" s="9" t="s">
        <v>37</v>
      </c>
      <c r="C3" s="9"/>
      <c r="D3" s="3"/>
      <c r="E3" s="3"/>
      <c r="F3" s="3"/>
      <c r="G3" s="3"/>
      <c r="H3" s="3"/>
      <c r="I3" s="3"/>
      <c r="J3" s="3"/>
      <c r="K3" s="3"/>
      <c r="L3" s="3"/>
      <c r="M3" s="3"/>
      <c r="N3" s="3"/>
      <c r="O3" s="3"/>
      <c r="P3" s="3"/>
      <c r="Q3" s="3"/>
      <c r="R3" s="3"/>
    </row>
    <row r="4" spans="1:18" x14ac:dyDescent="0.25">
      <c r="A4" s="3"/>
      <c r="B4" s="9" t="s">
        <v>17</v>
      </c>
      <c r="C4" s="9">
        <f>'Binomial BOPM model'!C6</f>
        <v>594.25</v>
      </c>
      <c r="D4" s="3"/>
      <c r="E4" s="3"/>
      <c r="F4" s="3"/>
      <c r="G4" s="3"/>
      <c r="H4" s="3"/>
      <c r="I4" s="3"/>
      <c r="J4" s="3"/>
      <c r="K4" s="3"/>
      <c r="L4" s="3"/>
      <c r="M4" s="3"/>
      <c r="N4" s="3"/>
      <c r="O4" s="3"/>
      <c r="P4" s="3"/>
      <c r="Q4" s="3"/>
      <c r="R4" s="3"/>
    </row>
    <row r="5" spans="1:18" x14ac:dyDescent="0.25">
      <c r="A5" s="3"/>
      <c r="B5" s="9" t="s">
        <v>38</v>
      </c>
      <c r="C5" s="9">
        <f>'Binomial BOPM model'!C7</f>
        <v>620</v>
      </c>
      <c r="D5" s="3"/>
      <c r="E5" s="3"/>
      <c r="F5" s="3"/>
      <c r="G5" s="3"/>
      <c r="H5" s="3"/>
      <c r="I5" s="3"/>
      <c r="J5" s="3"/>
      <c r="K5" s="3"/>
      <c r="L5" s="3"/>
      <c r="M5" s="3"/>
      <c r="N5" s="3"/>
      <c r="O5" s="3"/>
      <c r="P5" s="3"/>
      <c r="Q5" s="3"/>
      <c r="R5" s="3"/>
    </row>
    <row r="6" spans="1:18" x14ac:dyDescent="0.25">
      <c r="A6" s="3"/>
      <c r="B6" s="9" t="s">
        <v>39</v>
      </c>
      <c r="C6" s="9">
        <f>'Binomial BOPM model'!C8</f>
        <v>0.25</v>
      </c>
      <c r="D6" s="3"/>
      <c r="E6" s="3"/>
      <c r="F6" s="3"/>
      <c r="G6" s="3"/>
      <c r="H6" s="3"/>
      <c r="I6" s="3"/>
      <c r="J6" s="3"/>
      <c r="K6" s="3"/>
      <c r="L6" s="3"/>
      <c r="M6" s="3"/>
      <c r="N6" s="3"/>
      <c r="O6" s="3"/>
      <c r="P6" s="3"/>
      <c r="Q6" s="3"/>
      <c r="R6" s="3"/>
    </row>
    <row r="7" spans="1:18" x14ac:dyDescent="0.25">
      <c r="A7" s="3"/>
      <c r="B7" s="9" t="s">
        <v>41</v>
      </c>
      <c r="C7" s="9">
        <f>'Historical data'!G14</f>
        <v>0.40672738867486541</v>
      </c>
      <c r="D7" s="3"/>
      <c r="E7" s="3"/>
      <c r="F7" s="3"/>
      <c r="G7" s="3"/>
      <c r="H7" s="3"/>
      <c r="I7" s="3"/>
      <c r="J7" s="3"/>
      <c r="K7" s="3"/>
      <c r="L7" s="3"/>
      <c r="M7" s="3"/>
      <c r="N7" s="3"/>
      <c r="O7" s="3"/>
      <c r="P7" s="3"/>
      <c r="Q7" s="3"/>
      <c r="R7" s="3"/>
    </row>
    <row r="8" spans="1:18" x14ac:dyDescent="0.25">
      <c r="A8" s="3"/>
      <c r="B8" s="9" t="s">
        <v>40</v>
      </c>
      <c r="C8" s="10">
        <f>'Binomial BOPM model'!C12</f>
        <v>3.8339999999999999E-2</v>
      </c>
      <c r="D8" s="3"/>
      <c r="E8" s="3"/>
      <c r="F8" s="3"/>
      <c r="G8" s="3"/>
      <c r="H8" s="3"/>
      <c r="I8" s="3"/>
      <c r="J8" s="3"/>
      <c r="K8" s="3"/>
      <c r="L8" s="3"/>
      <c r="M8" s="3"/>
      <c r="N8" s="3"/>
      <c r="O8" s="3"/>
      <c r="P8" s="3"/>
      <c r="Q8" s="3"/>
      <c r="R8" s="3"/>
    </row>
    <row r="9" spans="1:18" x14ac:dyDescent="0.25">
      <c r="A9" s="3"/>
      <c r="B9" s="9"/>
      <c r="C9" s="9"/>
      <c r="D9" s="3"/>
      <c r="E9" s="3"/>
      <c r="F9" s="3"/>
      <c r="G9" s="3"/>
      <c r="H9" s="3"/>
      <c r="I9" s="3"/>
      <c r="J9" s="3"/>
      <c r="K9" s="3"/>
      <c r="L9" s="3"/>
      <c r="M9" s="3"/>
      <c r="N9" s="3"/>
      <c r="O9" s="3"/>
      <c r="P9" s="3"/>
      <c r="Q9" s="3"/>
      <c r="R9" s="3"/>
    </row>
    <row r="10" spans="1:18" x14ac:dyDescent="0.25">
      <c r="A10" s="3"/>
      <c r="B10" s="9" t="s">
        <v>42</v>
      </c>
      <c r="C10" s="9">
        <f>(LN(C4/C5)+(C8+0.5*C7^2)*C6)/(C7*SQRT(C6))</f>
        <v>-5.9774561782791155E-2</v>
      </c>
      <c r="D10" s="3"/>
      <c r="E10" s="3"/>
      <c r="F10" s="3"/>
      <c r="G10" s="3"/>
      <c r="H10" s="3"/>
      <c r="I10" s="3"/>
      <c r="J10" s="3"/>
      <c r="K10" s="3"/>
      <c r="L10" s="3"/>
      <c r="M10" s="3"/>
      <c r="N10" s="3"/>
      <c r="O10" s="3"/>
      <c r="P10" s="3"/>
      <c r="Q10" s="3"/>
      <c r="R10" s="3"/>
    </row>
    <row r="11" spans="1:18" x14ac:dyDescent="0.25">
      <c r="A11" s="3"/>
      <c r="B11" s="9" t="s">
        <v>43</v>
      </c>
      <c r="C11" s="9">
        <f xml:space="preserve"> C10 - C7*SQRT(C6)</f>
        <v>-0.26313825612022385</v>
      </c>
      <c r="D11" s="3"/>
      <c r="E11" s="3"/>
      <c r="F11" s="3"/>
      <c r="G11" s="3"/>
      <c r="H11" s="3"/>
      <c r="I11" s="3"/>
      <c r="J11" s="3"/>
      <c r="K11" s="3"/>
      <c r="L11" s="3"/>
      <c r="M11" s="3"/>
      <c r="N11" s="3"/>
      <c r="O11" s="3"/>
      <c r="P11" s="3"/>
      <c r="Q11" s="3"/>
      <c r="R11" s="3"/>
    </row>
    <row r="12" spans="1:18" x14ac:dyDescent="0.25">
      <c r="A12" s="3"/>
      <c r="B12" s="9"/>
      <c r="C12" s="9"/>
      <c r="D12" s="3"/>
      <c r="E12" s="3"/>
      <c r="F12" s="3"/>
      <c r="G12" s="3"/>
      <c r="H12" s="3"/>
      <c r="I12" s="3"/>
      <c r="J12" s="3"/>
      <c r="K12" s="3"/>
      <c r="L12" s="3"/>
      <c r="M12" s="3"/>
      <c r="N12" s="3"/>
      <c r="O12" s="3"/>
      <c r="P12" s="3"/>
      <c r="Q12" s="3"/>
      <c r="R12" s="3"/>
    </row>
    <row r="13" spans="1:18" x14ac:dyDescent="0.25">
      <c r="A13" s="3"/>
      <c r="B13" s="9" t="s">
        <v>44</v>
      </c>
      <c r="C13" s="9">
        <f>_xlfn.NORM.S.DIST(C10, TRUE)</f>
        <v>0.47616759304806516</v>
      </c>
      <c r="D13" s="3"/>
      <c r="E13" s="3"/>
      <c r="F13" s="3"/>
      <c r="G13" s="3"/>
      <c r="H13" s="3"/>
      <c r="I13" s="3"/>
      <c r="J13" s="3"/>
      <c r="K13" s="3"/>
      <c r="L13" s="3"/>
      <c r="M13" s="3"/>
      <c r="N13" s="3"/>
      <c r="O13" s="3"/>
      <c r="P13" s="3"/>
      <c r="Q13" s="3"/>
      <c r="R13" s="3"/>
    </row>
    <row r="14" spans="1:18" x14ac:dyDescent="0.25">
      <c r="A14" s="3"/>
      <c r="B14" s="9" t="s">
        <v>45</v>
      </c>
      <c r="C14" s="9">
        <f>_xlfn.NORM.S.DIST(C11, TRUE)</f>
        <v>0.39622200925560708</v>
      </c>
      <c r="D14" s="3"/>
      <c r="E14" s="3"/>
      <c r="F14" s="3"/>
      <c r="G14" s="3"/>
      <c r="H14" s="3"/>
      <c r="I14" s="3"/>
      <c r="J14" s="3"/>
      <c r="K14" s="3"/>
      <c r="L14" s="3"/>
      <c r="M14" s="3"/>
      <c r="N14" s="3"/>
      <c r="O14" s="3"/>
      <c r="P14" s="3"/>
      <c r="Q14" s="3"/>
      <c r="R14" s="3"/>
    </row>
    <row r="15" spans="1:18" x14ac:dyDescent="0.25">
      <c r="A15" s="3"/>
      <c r="B15" s="9"/>
      <c r="C15" s="9"/>
      <c r="D15" s="3"/>
      <c r="E15" s="3"/>
      <c r="F15" s="3"/>
      <c r="G15" s="3"/>
      <c r="H15" s="3"/>
      <c r="I15" s="3"/>
      <c r="J15" s="3"/>
      <c r="K15" s="3"/>
      <c r="L15" s="3"/>
      <c r="M15" s="3"/>
      <c r="N15" s="3"/>
      <c r="O15" s="3"/>
      <c r="P15" s="3"/>
      <c r="Q15" s="3"/>
      <c r="R15" s="3"/>
    </row>
    <row r="16" spans="1:18" x14ac:dyDescent="0.25">
      <c r="A16" s="3"/>
      <c r="B16" s="9" t="s">
        <v>46</v>
      </c>
      <c r="C16" s="9">
        <f xml:space="preserve"> C4*C13 - C5*EXP(-C8*C6)*C14</f>
        <v>39.648326375419487</v>
      </c>
      <c r="D16" s="3"/>
      <c r="E16" s="3"/>
      <c r="F16" s="3"/>
      <c r="G16" s="3"/>
      <c r="H16" s="3"/>
      <c r="I16" s="3"/>
      <c r="J16" s="3"/>
      <c r="K16" s="3"/>
      <c r="L16" s="3"/>
      <c r="M16" s="3"/>
      <c r="N16" s="3"/>
      <c r="O16" s="3"/>
      <c r="P16" s="3"/>
      <c r="Q16" s="3"/>
      <c r="R16" s="3"/>
    </row>
    <row r="17" spans="1:18" x14ac:dyDescent="0.25">
      <c r="A17" s="3"/>
      <c r="B17" s="3"/>
      <c r="C17" s="3"/>
      <c r="D17" s="3"/>
      <c r="E17" s="3"/>
      <c r="F17" s="3"/>
      <c r="G17" s="3"/>
      <c r="H17" s="3"/>
      <c r="I17" s="3"/>
      <c r="J17" s="3"/>
      <c r="K17" s="3"/>
      <c r="L17" s="3"/>
      <c r="M17" s="3"/>
      <c r="N17" s="3"/>
      <c r="O17" s="3"/>
      <c r="P17" s="3"/>
      <c r="Q17" s="3"/>
      <c r="R17" s="3"/>
    </row>
    <row r="18" spans="1:18" x14ac:dyDescent="0.25">
      <c r="A18" s="3"/>
      <c r="B18" s="3"/>
      <c r="C18" s="3"/>
      <c r="D18" s="3"/>
      <c r="E18" s="3"/>
      <c r="F18" s="3"/>
      <c r="G18" s="3"/>
      <c r="H18" s="3"/>
      <c r="I18" s="3"/>
      <c r="J18" s="3"/>
      <c r="K18" s="3"/>
      <c r="L18" s="3"/>
      <c r="M18" s="3"/>
      <c r="N18" s="3"/>
      <c r="O18" s="3"/>
      <c r="P18" s="3"/>
      <c r="Q18" s="3"/>
      <c r="R18" s="3"/>
    </row>
    <row r="19" spans="1:18" x14ac:dyDescent="0.25">
      <c r="A19" s="3"/>
      <c r="B19" s="3"/>
      <c r="C19" s="3"/>
      <c r="D19" s="3"/>
      <c r="E19" s="3"/>
      <c r="F19" s="3"/>
      <c r="G19" s="3"/>
      <c r="H19" s="3"/>
      <c r="I19" s="3"/>
      <c r="J19" s="3"/>
      <c r="K19" s="3"/>
      <c r="L19" s="3"/>
      <c r="M19" s="3"/>
      <c r="N19" s="3"/>
      <c r="O19" s="3"/>
      <c r="P19" s="3"/>
      <c r="Q19" s="3"/>
      <c r="R19" s="3"/>
    </row>
    <row r="20" spans="1:18" x14ac:dyDescent="0.25">
      <c r="A20" s="3"/>
      <c r="B20" s="3"/>
      <c r="C20" s="3"/>
      <c r="D20" s="3"/>
      <c r="E20" s="3"/>
      <c r="F20" s="3"/>
      <c r="G20" s="3"/>
      <c r="H20" s="3"/>
      <c r="I20" s="3"/>
      <c r="J20" s="3"/>
      <c r="K20" s="3"/>
      <c r="L20" s="3"/>
      <c r="M20" s="3"/>
      <c r="N20" s="3"/>
      <c r="O20" s="3"/>
      <c r="P20" s="3"/>
      <c r="Q20" s="3"/>
      <c r="R20" s="3"/>
    </row>
    <row r="21" spans="1:18" x14ac:dyDescent="0.25">
      <c r="A21" s="3"/>
      <c r="B21" s="3"/>
      <c r="C21" s="3"/>
      <c r="D21" s="3"/>
      <c r="E21" s="3"/>
      <c r="F21" s="3"/>
      <c r="G21" s="3"/>
      <c r="H21" s="3"/>
      <c r="I21" s="3"/>
      <c r="J21" s="3"/>
      <c r="K21" s="3"/>
      <c r="L21" s="3"/>
      <c r="M21" s="3"/>
      <c r="N21" s="3"/>
      <c r="O21" s="3"/>
      <c r="P21" s="3"/>
      <c r="Q21" s="3"/>
      <c r="R21" s="3"/>
    </row>
    <row r="22" spans="1:18" x14ac:dyDescent="0.25">
      <c r="A22" s="3"/>
      <c r="B22" s="3"/>
      <c r="C22" s="3"/>
      <c r="D22" s="3"/>
      <c r="E22" s="3"/>
      <c r="F22" s="3"/>
      <c r="G22" s="3"/>
      <c r="H22" s="3"/>
      <c r="I22" s="3"/>
      <c r="J22" s="3"/>
      <c r="K22" s="3"/>
      <c r="L22" s="3"/>
      <c r="M22" s="3"/>
      <c r="N22" s="3"/>
      <c r="O22" s="3"/>
      <c r="P22" s="3"/>
      <c r="Q22" s="3"/>
      <c r="R22" s="3"/>
    </row>
    <row r="23" spans="1:18" x14ac:dyDescent="0.25">
      <c r="A23" s="3"/>
      <c r="B23" s="3"/>
      <c r="C23" s="3"/>
      <c r="D23" s="3"/>
      <c r="E23" s="3"/>
      <c r="F23" s="3"/>
      <c r="G23" s="3"/>
      <c r="H23" s="3"/>
      <c r="I23" s="3"/>
      <c r="J23" s="3"/>
      <c r="K23" s="3"/>
      <c r="L23" s="3"/>
      <c r="M23" s="3"/>
      <c r="N23" s="3"/>
      <c r="O23" s="3"/>
      <c r="P23" s="3"/>
      <c r="Q23" s="3"/>
      <c r="R23" s="3"/>
    </row>
    <row r="24" spans="1:18" x14ac:dyDescent="0.25">
      <c r="A24" s="3"/>
      <c r="B24" s="3"/>
      <c r="C24" s="3"/>
      <c r="D24" s="3"/>
      <c r="E24" s="3"/>
      <c r="F24" s="3"/>
      <c r="G24" s="3"/>
      <c r="H24" s="3"/>
      <c r="I24" s="3"/>
      <c r="J24" s="3"/>
      <c r="K24" s="3"/>
      <c r="L24" s="3"/>
      <c r="M24" s="3"/>
      <c r="N24" s="3"/>
      <c r="O24" s="3"/>
      <c r="P24" s="3"/>
      <c r="Q24" s="3"/>
      <c r="R24" s="3"/>
    </row>
    <row r="25" spans="1:18" x14ac:dyDescent="0.25">
      <c r="A25" s="3"/>
      <c r="B25" s="3"/>
      <c r="C25" s="3"/>
      <c r="D25" s="3"/>
      <c r="E25" s="3"/>
      <c r="F25" s="3"/>
      <c r="G25" s="3"/>
      <c r="H25" s="3"/>
      <c r="I25" s="3"/>
      <c r="J25" s="3"/>
      <c r="K25" s="3"/>
      <c r="L25" s="3"/>
      <c r="M25" s="3"/>
      <c r="N25" s="3"/>
      <c r="O25" s="3"/>
      <c r="P25" s="3"/>
      <c r="Q25" s="3"/>
      <c r="R25" s="3"/>
    </row>
    <row r="26" spans="1:18" x14ac:dyDescent="0.25">
      <c r="A26" s="3"/>
      <c r="B26" s="3"/>
      <c r="C26" s="3"/>
      <c r="D26" s="3"/>
      <c r="E26" s="3"/>
      <c r="F26" s="3"/>
      <c r="G26" s="3"/>
      <c r="H26" s="3"/>
      <c r="I26" s="3"/>
      <c r="J26" s="3"/>
      <c r="K26" s="3"/>
      <c r="L26" s="3"/>
      <c r="M26" s="3"/>
      <c r="N26" s="3"/>
      <c r="O26" s="3"/>
      <c r="P26" s="3"/>
      <c r="Q26" s="3"/>
      <c r="R26" s="3"/>
    </row>
    <row r="27" spans="1:18" x14ac:dyDescent="0.25">
      <c r="A27" s="3"/>
      <c r="B27" s="3"/>
      <c r="C27" s="3"/>
      <c r="D27" s="3"/>
      <c r="E27" s="3"/>
      <c r="F27" s="3"/>
      <c r="G27" s="3"/>
      <c r="H27" s="3"/>
      <c r="I27" s="3"/>
      <c r="J27" s="3"/>
      <c r="K27" s="3"/>
      <c r="L27" s="3"/>
      <c r="M27" s="3"/>
      <c r="N27" s="3"/>
      <c r="O27" s="3"/>
      <c r="P27" s="3"/>
      <c r="Q27" s="3"/>
      <c r="R27" s="3"/>
    </row>
    <row r="28" spans="1:18" x14ac:dyDescent="0.25">
      <c r="A28" s="3"/>
      <c r="B28" s="3"/>
      <c r="C28" s="3"/>
      <c r="D28" s="3"/>
      <c r="E28" s="3"/>
      <c r="F28" s="3"/>
      <c r="G28" s="3"/>
      <c r="H28" s="3"/>
      <c r="I28" s="3"/>
      <c r="J28" s="3"/>
      <c r="K28" s="3"/>
      <c r="L28" s="3"/>
      <c r="M28" s="3"/>
      <c r="N28" s="3"/>
      <c r="O28" s="3"/>
      <c r="P28" s="3"/>
      <c r="Q28" s="3"/>
      <c r="R28" s="3"/>
    </row>
    <row r="29" spans="1:18" x14ac:dyDescent="0.25">
      <c r="A29" s="3"/>
      <c r="B29" s="3"/>
      <c r="C29" s="3"/>
      <c r="D29" s="3"/>
      <c r="E29" s="3"/>
      <c r="F29" s="3"/>
      <c r="G29" s="3"/>
      <c r="H29" s="3"/>
      <c r="I29" s="3"/>
      <c r="J29" s="3"/>
      <c r="K29" s="3"/>
      <c r="L29" s="3"/>
      <c r="M29" s="3"/>
      <c r="N29" s="3"/>
      <c r="O29" s="3"/>
      <c r="P29" s="3"/>
      <c r="Q29" s="3"/>
      <c r="R29" s="3"/>
    </row>
    <row r="30" spans="1:18" x14ac:dyDescent="0.25">
      <c r="A30" s="3"/>
      <c r="B30" s="3"/>
      <c r="C30" s="3"/>
      <c r="D30" s="3"/>
      <c r="E30" s="3"/>
      <c r="F30" s="3"/>
      <c r="G30" s="3"/>
      <c r="H30" s="3"/>
      <c r="I30" s="3"/>
      <c r="J30" s="3"/>
      <c r="K30" s="3"/>
      <c r="L30" s="3"/>
      <c r="M30" s="3"/>
      <c r="N30" s="3"/>
      <c r="O30" s="3"/>
      <c r="P30" s="3"/>
      <c r="Q30" s="3"/>
      <c r="R30" s="3"/>
    </row>
    <row r="31" spans="1:18" x14ac:dyDescent="0.25">
      <c r="A31" s="3"/>
      <c r="B31" s="3"/>
      <c r="C31" s="3"/>
      <c r="D31" s="3"/>
      <c r="E31" s="3"/>
      <c r="F31" s="3"/>
      <c r="G31" s="3"/>
      <c r="H31" s="3"/>
      <c r="I31" s="3"/>
      <c r="J31" s="3"/>
      <c r="K31" s="3"/>
      <c r="L31" s="3"/>
      <c r="M31" s="3"/>
      <c r="N31" s="3"/>
      <c r="O31" s="3"/>
      <c r="P31" s="3"/>
      <c r="Q31" s="3"/>
      <c r="R31" s="3"/>
    </row>
    <row r="32" spans="1:18" x14ac:dyDescent="0.25">
      <c r="A32" s="3"/>
      <c r="B32" s="3"/>
      <c r="C32" s="3"/>
      <c r="D32" s="3"/>
      <c r="E32" s="3"/>
      <c r="F32" s="3"/>
      <c r="G32" s="3"/>
      <c r="H32" s="3"/>
      <c r="I32" s="3"/>
      <c r="J32" s="3"/>
      <c r="K32" s="3"/>
      <c r="L32" s="3"/>
      <c r="M32" s="3"/>
      <c r="N32" s="3"/>
      <c r="O32" s="3"/>
      <c r="P32" s="3"/>
      <c r="Q32" s="3"/>
      <c r="R32" s="3"/>
    </row>
    <row r="33" spans="1:18" x14ac:dyDescent="0.25">
      <c r="A33" s="3"/>
      <c r="B33" s="3"/>
      <c r="C33" s="3"/>
      <c r="D33" s="3"/>
      <c r="E33" s="3"/>
      <c r="F33" s="3"/>
      <c r="G33" s="3"/>
      <c r="H33" s="3"/>
      <c r="I33" s="3"/>
      <c r="J33" s="3"/>
      <c r="K33" s="3"/>
      <c r="L33" s="3"/>
      <c r="M33" s="3"/>
      <c r="N33" s="3"/>
      <c r="O33" s="3"/>
      <c r="P33" s="3"/>
      <c r="Q33" s="3"/>
      <c r="R33" s="3"/>
    </row>
    <row r="34" spans="1:18" x14ac:dyDescent="0.25">
      <c r="A34" s="3"/>
      <c r="B34" s="3"/>
      <c r="C34" s="3"/>
      <c r="D34" s="3"/>
      <c r="E34" s="3"/>
      <c r="F34" s="3"/>
      <c r="G34" s="3"/>
      <c r="H34" s="3"/>
      <c r="I34" s="3"/>
      <c r="J34" s="3"/>
      <c r="K34" s="3"/>
      <c r="L34" s="3"/>
      <c r="M34" s="3"/>
      <c r="N34" s="3"/>
      <c r="O34" s="3"/>
      <c r="P34" s="3"/>
      <c r="Q34" s="3"/>
      <c r="R34" s="3"/>
    </row>
    <row r="35" spans="1:18" x14ac:dyDescent="0.25">
      <c r="A35" s="3"/>
      <c r="B35" s="3"/>
      <c r="C35" s="3"/>
      <c r="D35" s="3"/>
      <c r="E35" s="3"/>
      <c r="F35" s="3"/>
      <c r="G35" s="3"/>
      <c r="H35" s="3"/>
      <c r="I35" s="3"/>
      <c r="J35" s="3"/>
      <c r="K35" s="3"/>
      <c r="L35" s="3"/>
      <c r="M35" s="3"/>
      <c r="N35" s="3"/>
      <c r="O35" s="3"/>
      <c r="P35" s="3"/>
      <c r="Q35" s="3"/>
      <c r="R35" s="3"/>
    </row>
    <row r="36" spans="1:18" x14ac:dyDescent="0.25">
      <c r="A36" s="3"/>
      <c r="B36" s="3" t="s">
        <v>48</v>
      </c>
      <c r="C36" s="3">
        <f>-(C4*EXP(-0.5*C10^2)/SQRT(2*PI())*C7)/(2*SQRT(C6))-C8*C5*EXP(-C8*C6)*_xlfn.NORM.S.DIST(C11,TRUE)</f>
        <v>-105.58001415893263</v>
      </c>
      <c r="D36" s="3"/>
      <c r="E36" s="3" t="s">
        <v>49</v>
      </c>
      <c r="F36" s="3"/>
      <c r="G36" s="3"/>
      <c r="H36" s="3"/>
      <c r="I36" s="3"/>
      <c r="J36" s="3"/>
      <c r="K36" s="3"/>
      <c r="L36" s="3"/>
      <c r="M36" s="3"/>
      <c r="N36" s="3"/>
      <c r="O36" s="3"/>
      <c r="P36" s="3"/>
      <c r="Q36" s="3"/>
      <c r="R36" s="3"/>
    </row>
    <row r="37" spans="1:18" x14ac:dyDescent="0.25">
      <c r="A37" s="3"/>
      <c r="B37" s="3" t="s">
        <v>50</v>
      </c>
      <c r="C37" s="3">
        <f>C36/365</f>
        <v>-0.289260312764199</v>
      </c>
      <c r="D37" s="3"/>
      <c r="E37" s="3"/>
      <c r="F37" s="3"/>
      <c r="G37" s="3"/>
      <c r="H37" s="3"/>
      <c r="I37" s="3"/>
      <c r="J37" s="3"/>
      <c r="K37" s="3"/>
      <c r="L37" s="3"/>
      <c r="M37" s="3"/>
      <c r="N37" s="3"/>
      <c r="O37" s="3"/>
      <c r="P37" s="3"/>
      <c r="Q37" s="3"/>
      <c r="R37" s="3"/>
    </row>
    <row r="38" spans="1:18" x14ac:dyDescent="0.25">
      <c r="A38" s="3"/>
      <c r="B38" s="3" t="s">
        <v>51</v>
      </c>
      <c r="C38" s="3">
        <f>C37*100</f>
        <v>-28.926031276419899</v>
      </c>
      <c r="D38" s="3"/>
      <c r="E38" s="3" t="s">
        <v>52</v>
      </c>
      <c r="F38" s="3"/>
      <c r="G38" s="3"/>
      <c r="H38" s="3"/>
      <c r="I38" s="3"/>
      <c r="J38" s="3"/>
      <c r="K38" s="3"/>
      <c r="L38" s="3"/>
      <c r="M38" s="3"/>
      <c r="N38" s="3"/>
      <c r="O38" s="3"/>
      <c r="P38" s="3"/>
      <c r="Q38" s="3"/>
      <c r="R38" s="3"/>
    </row>
    <row r="39" spans="1:18" x14ac:dyDescent="0.25">
      <c r="A39" s="3"/>
      <c r="B39" s="3"/>
      <c r="C39" s="3"/>
      <c r="D39" s="3"/>
      <c r="E39" s="3" t="s">
        <v>53</v>
      </c>
      <c r="F39" s="3"/>
      <c r="G39" s="3"/>
      <c r="H39" s="3"/>
      <c r="I39" s="3"/>
      <c r="J39" s="3"/>
      <c r="K39" s="3"/>
      <c r="L39" s="3"/>
      <c r="M39" s="3"/>
      <c r="N39" s="3"/>
      <c r="O39" s="3"/>
      <c r="P39" s="3"/>
      <c r="Q39" s="3"/>
      <c r="R39" s="3"/>
    </row>
    <row r="40" spans="1:18" x14ac:dyDescent="0.25">
      <c r="A40" s="3"/>
      <c r="B40" s="3"/>
      <c r="C40" s="3"/>
      <c r="D40" s="3"/>
      <c r="E40" s="3" t="s">
        <v>54</v>
      </c>
      <c r="F40" s="3"/>
      <c r="G40" s="3"/>
      <c r="H40" s="3"/>
      <c r="I40" s="3"/>
      <c r="J40" s="3"/>
      <c r="K40" s="3"/>
      <c r="L40" s="3"/>
      <c r="M40" s="3"/>
      <c r="N40" s="3"/>
      <c r="O40" s="3"/>
      <c r="P40" s="3"/>
      <c r="Q40" s="3"/>
      <c r="R40" s="3"/>
    </row>
    <row r="41" spans="1:18" x14ac:dyDescent="0.25">
      <c r="A41" s="3"/>
      <c r="B41" s="3"/>
      <c r="C41" s="3"/>
      <c r="D41" s="3"/>
      <c r="E41" s="3"/>
      <c r="F41" s="3"/>
      <c r="G41" s="3"/>
      <c r="H41" s="3"/>
      <c r="I41" s="3"/>
      <c r="J41" s="3"/>
      <c r="K41" s="3"/>
      <c r="L41" s="3"/>
      <c r="M41" s="3"/>
      <c r="N41" s="3"/>
      <c r="O41" s="3"/>
      <c r="P41" s="3"/>
      <c r="Q41" s="3"/>
      <c r="R41" s="3"/>
    </row>
    <row r="42" spans="1:18" x14ac:dyDescent="0.25">
      <c r="A42" s="3"/>
      <c r="B42" s="3"/>
      <c r="C42" s="3" t="s">
        <v>56</v>
      </c>
      <c r="D42" s="3"/>
      <c r="E42" s="3"/>
      <c r="F42" s="3"/>
      <c r="G42" s="3"/>
      <c r="H42" s="3"/>
      <c r="I42" s="3"/>
      <c r="J42" s="3"/>
      <c r="K42" s="3"/>
      <c r="L42" s="3"/>
      <c r="M42" s="3"/>
      <c r="N42" s="3"/>
      <c r="O42" s="3"/>
      <c r="P42" s="3"/>
      <c r="Q42" s="3"/>
      <c r="R42" s="3"/>
    </row>
    <row r="43" spans="1:18" x14ac:dyDescent="0.25">
      <c r="A43" s="3"/>
      <c r="B43" s="3" t="s">
        <v>55</v>
      </c>
      <c r="C43" s="3"/>
      <c r="D43" s="3"/>
      <c r="E43" s="3"/>
      <c r="F43" s="3"/>
      <c r="G43" s="3"/>
      <c r="H43" s="3"/>
      <c r="I43" s="3"/>
      <c r="J43" s="3"/>
      <c r="K43" s="3"/>
      <c r="L43" s="3"/>
      <c r="M43" s="3"/>
      <c r="N43" s="3"/>
      <c r="O43" s="3"/>
      <c r="P43" s="3"/>
      <c r="Q43" s="3"/>
      <c r="R43" s="3"/>
    </row>
    <row r="44" spans="1:18" x14ac:dyDescent="0.25">
      <c r="A44" s="3"/>
      <c r="B44" s="3"/>
      <c r="C44" s="3"/>
      <c r="D44" s="3"/>
      <c r="E44" s="3"/>
      <c r="F44" s="3"/>
      <c r="G44" s="3"/>
      <c r="H44" s="3"/>
      <c r="I44" s="3"/>
      <c r="J44" s="3"/>
      <c r="K44" s="3"/>
      <c r="L44" s="3"/>
      <c r="M44" s="3"/>
      <c r="N44" s="3"/>
      <c r="O44" s="3"/>
      <c r="P44" s="3"/>
      <c r="Q44" s="3"/>
      <c r="R44" s="3"/>
    </row>
    <row r="45" spans="1:18" x14ac:dyDescent="0.25">
      <c r="A45" s="3"/>
      <c r="B45" s="3"/>
      <c r="C45" s="3"/>
      <c r="D45" s="3"/>
      <c r="E45" s="3"/>
      <c r="F45" s="3"/>
      <c r="G45" s="3"/>
      <c r="H45" s="3"/>
      <c r="I45" s="3"/>
      <c r="J45" s="3"/>
      <c r="K45" s="3"/>
      <c r="L45" s="3"/>
      <c r="M45" s="3"/>
      <c r="N45" s="3"/>
      <c r="O45" s="3"/>
      <c r="P45" s="3"/>
      <c r="Q45" s="3"/>
      <c r="R45" s="3"/>
    </row>
    <row r="46" spans="1:18" x14ac:dyDescent="0.25">
      <c r="A46" s="3"/>
      <c r="B46" s="3"/>
      <c r="C46" s="3" t="s">
        <v>56</v>
      </c>
      <c r="D46" s="3" t="s">
        <v>59</v>
      </c>
      <c r="E46" s="3" t="s">
        <v>60</v>
      </c>
      <c r="F46" s="3" t="s">
        <v>61</v>
      </c>
      <c r="G46" s="3"/>
      <c r="H46" s="3"/>
      <c r="I46" s="3"/>
      <c r="J46" s="3"/>
      <c r="K46" s="3"/>
      <c r="L46" s="3"/>
      <c r="M46" s="3"/>
      <c r="N46" s="3"/>
      <c r="O46" s="3"/>
      <c r="P46" s="3"/>
      <c r="Q46" s="3"/>
      <c r="R46" s="3"/>
    </row>
    <row r="47" spans="1:18" x14ac:dyDescent="0.25">
      <c r="A47" s="3"/>
      <c r="B47" s="3" t="s">
        <v>57</v>
      </c>
      <c r="C47" s="3">
        <v>0.25</v>
      </c>
      <c r="D47" s="11">
        <f>-( $C$4 * (EXP(-0.5 * ((LN($C$4/$C$5) + ($C$8 + 0.5*$C$7^2)*C47) / ($C$7*SQRT(C47)))^2) / SQRT(2*PI())) * $C$7 ) / (2*SQRT(C47))
 - $C$8 * $C$5 * EXP(-$C$8*C47) * _xlfn.NORM.S.DIST(((LN($C$4/$C$5) + ($C$8 + 0.5*$C$7^2)*C47) / ($C$7*SQRT(C47)) - $C$7*SQRT(C47)), TRUE)</f>
        <v>-105.58001415893263</v>
      </c>
      <c r="E47" s="11">
        <f>D47/365</f>
        <v>-0.289260312764199</v>
      </c>
      <c r="F47" s="3">
        <f>E47*100</f>
        <v>-28.926031276419899</v>
      </c>
      <c r="G47" s="3"/>
      <c r="H47" s="3"/>
      <c r="I47" s="3"/>
      <c r="J47" s="3"/>
      <c r="K47" s="3"/>
      <c r="L47" s="3"/>
      <c r="M47" s="3"/>
      <c r="N47" s="3"/>
      <c r="O47" s="3"/>
      <c r="P47" s="3"/>
      <c r="Q47" s="3"/>
      <c r="R47" s="3"/>
    </row>
    <row r="48" spans="1:18" x14ac:dyDescent="0.25">
      <c r="A48" s="3"/>
      <c r="B48" s="3"/>
      <c r="C48" s="3">
        <v>0.24</v>
      </c>
      <c r="D48" s="11">
        <f t="shared" ref="D48:D71" si="0">-( $C$4 * (EXP(-0.5 * ((LN($C$4/$C$5) + ($C$8 + 0.5*$C$7^2)*C48) / ($C$7*SQRT(C48)))^2) / SQRT(2*PI())) * $C$7 ) / (2*SQRT(C48))
 - $C$8 * $C$5 * EXP(-$C$8*C48) * _xlfn.NORM.S.DIST(((LN($C$4/$C$5) + ($C$8 + 0.5*$C$7^2)*C48) / ($C$7*SQRT(C48)) - $C$7*SQRT(C48)), TRUE)</f>
        <v>-107.4938144393896</v>
      </c>
      <c r="E48" s="11">
        <f t="shared" ref="E48:E71" si="1">D48/365</f>
        <v>-0.29450360120380709</v>
      </c>
      <c r="F48" s="3">
        <f t="shared" ref="F48:F71" si="2">E48*100</f>
        <v>-29.450360120380708</v>
      </c>
      <c r="G48" s="3"/>
      <c r="H48" s="3"/>
      <c r="I48" s="3"/>
      <c r="J48" s="3"/>
      <c r="K48" s="3"/>
      <c r="L48" s="3"/>
      <c r="M48" s="3"/>
      <c r="N48" s="3"/>
      <c r="O48" s="3"/>
      <c r="P48" s="3"/>
      <c r="Q48" s="3"/>
      <c r="R48" s="3"/>
    </row>
    <row r="49" spans="1:18" x14ac:dyDescent="0.25">
      <c r="A49" s="3"/>
      <c r="B49" s="3"/>
      <c r="C49" s="3">
        <f>C48-0.01</f>
        <v>0.22999999999999998</v>
      </c>
      <c r="D49" s="11">
        <f t="shared" si="0"/>
        <v>-109.52354819952185</v>
      </c>
      <c r="E49" s="11">
        <f t="shared" si="1"/>
        <v>-0.30006451561512837</v>
      </c>
      <c r="F49" s="3">
        <f t="shared" si="2"/>
        <v>-30.006451561512836</v>
      </c>
      <c r="G49" s="3"/>
      <c r="H49" s="3"/>
      <c r="I49" s="3"/>
      <c r="J49" s="3"/>
      <c r="K49" s="3"/>
      <c r="L49" s="3"/>
      <c r="M49" s="3"/>
      <c r="N49" s="3"/>
      <c r="O49" s="3"/>
      <c r="P49" s="3"/>
      <c r="Q49" s="3"/>
      <c r="R49" s="3"/>
    </row>
    <row r="50" spans="1:18" x14ac:dyDescent="0.25">
      <c r="A50" s="3"/>
      <c r="B50" s="3"/>
      <c r="C50" s="3">
        <f t="shared" ref="C50:C71" si="3">C49-0.01</f>
        <v>0.21999999999999997</v>
      </c>
      <c r="D50" s="11">
        <f t="shared" si="0"/>
        <v>-111.68152790148969</v>
      </c>
      <c r="E50" s="11">
        <f t="shared" si="1"/>
        <v>-0.3059767887712046</v>
      </c>
      <c r="F50" s="3">
        <f t="shared" si="2"/>
        <v>-30.597678877120458</v>
      </c>
      <c r="G50" s="3"/>
      <c r="H50" s="3"/>
      <c r="I50" s="3"/>
      <c r="J50" s="3"/>
      <c r="K50" s="3"/>
      <c r="L50" s="3"/>
      <c r="M50" s="3"/>
      <c r="N50" s="3"/>
      <c r="O50" s="3"/>
      <c r="P50" s="3"/>
      <c r="Q50" s="3"/>
      <c r="R50" s="3"/>
    </row>
    <row r="51" spans="1:18" x14ac:dyDescent="0.25">
      <c r="A51" s="3"/>
      <c r="B51" s="3"/>
      <c r="C51" s="3">
        <f t="shared" si="3"/>
        <v>0.20999999999999996</v>
      </c>
      <c r="D51" s="11">
        <f t="shared" si="0"/>
        <v>-113.98197640012542</v>
      </c>
      <c r="E51" s="11">
        <f t="shared" si="1"/>
        <v>-0.31227938739760391</v>
      </c>
      <c r="F51" s="3">
        <f t="shared" si="2"/>
        <v>-31.22793873976039</v>
      </c>
      <c r="G51" s="3"/>
      <c r="H51" s="3"/>
      <c r="I51" s="3"/>
      <c r="J51" s="3"/>
      <c r="K51" s="3"/>
      <c r="L51" s="3"/>
      <c r="M51" s="3"/>
      <c r="N51" s="3"/>
      <c r="O51" s="3"/>
      <c r="P51" s="3"/>
      <c r="Q51" s="3"/>
      <c r="R51" s="3"/>
    </row>
    <row r="52" spans="1:18" x14ac:dyDescent="0.25">
      <c r="A52" s="3"/>
      <c r="B52" s="3"/>
      <c r="C52" s="3">
        <f t="shared" si="3"/>
        <v>0.19999999999999996</v>
      </c>
      <c r="D52" s="11">
        <f t="shared" si="0"/>
        <v>-116.44142482179048</v>
      </c>
      <c r="E52" s="11">
        <f t="shared" si="1"/>
        <v>-0.31901760225148074</v>
      </c>
      <c r="F52" s="3">
        <f t="shared" si="2"/>
        <v>-31.901760225148074</v>
      </c>
      <c r="G52" s="3"/>
      <c r="H52" s="3"/>
      <c r="I52" s="3"/>
      <c r="J52" s="3"/>
      <c r="K52" s="3"/>
      <c r="L52" s="3"/>
      <c r="M52" s="3"/>
      <c r="N52" s="3"/>
      <c r="O52" s="3"/>
      <c r="P52" s="3"/>
      <c r="Q52" s="3"/>
      <c r="R52" s="3"/>
    </row>
    <row r="53" spans="1:18" x14ac:dyDescent="0.25">
      <c r="A53" s="3"/>
      <c r="B53" s="3"/>
      <c r="C53" s="3">
        <f t="shared" si="3"/>
        <v>0.18999999999999995</v>
      </c>
      <c r="D53" s="11">
        <f t="shared" si="0"/>
        <v>-119.07921630189237</v>
      </c>
      <c r="E53" s="11">
        <f t="shared" si="1"/>
        <v>-0.32624442822436267</v>
      </c>
      <c r="F53" s="3">
        <f t="shared" si="2"/>
        <v>-32.624442822436265</v>
      </c>
      <c r="G53" s="3"/>
      <c r="H53" s="3"/>
      <c r="I53" s="3"/>
      <c r="J53" s="3"/>
      <c r="K53" s="3"/>
      <c r="L53" s="3"/>
      <c r="M53" s="3"/>
      <c r="N53" s="3"/>
      <c r="O53" s="3"/>
      <c r="P53" s="3"/>
      <c r="Q53" s="3"/>
      <c r="R53" s="3"/>
    </row>
    <row r="54" spans="1:18" x14ac:dyDescent="0.25">
      <c r="A54" s="3"/>
      <c r="B54" s="3"/>
      <c r="C54" s="3">
        <f t="shared" si="3"/>
        <v>0.17999999999999994</v>
      </c>
      <c r="D54" s="11">
        <f t="shared" si="0"/>
        <v>-121.9181504128632</v>
      </c>
      <c r="E54" s="11">
        <f t="shared" si="1"/>
        <v>-0.33402232989825537</v>
      </c>
      <c r="F54" s="3">
        <f t="shared" si="2"/>
        <v>-33.402232989825535</v>
      </c>
      <c r="G54" s="3"/>
      <c r="H54" s="3"/>
      <c r="I54" s="3"/>
      <c r="J54" s="3"/>
      <c r="K54" s="3"/>
      <c r="L54" s="3"/>
      <c r="M54" s="3"/>
      <c r="N54" s="3"/>
      <c r="O54" s="3"/>
      <c r="P54" s="3"/>
      <c r="Q54" s="3"/>
      <c r="R54" s="3"/>
    </row>
    <row r="55" spans="1:18" x14ac:dyDescent="0.25">
      <c r="A55" s="3"/>
      <c r="B55" s="3"/>
      <c r="C55" s="3">
        <f t="shared" si="3"/>
        <v>0.16999999999999993</v>
      </c>
      <c r="D55" s="11">
        <f t="shared" si="0"/>
        <v>-124.98531696822629</v>
      </c>
      <c r="E55" s="11">
        <f t="shared" si="1"/>
        <v>-0.34242552594034598</v>
      </c>
      <c r="F55" s="3">
        <f t="shared" si="2"/>
        <v>-34.242552594034599</v>
      </c>
      <c r="G55" s="3"/>
      <c r="H55" s="3"/>
      <c r="I55" s="3"/>
      <c r="J55" s="3"/>
      <c r="K55" s="3"/>
      <c r="L55" s="3"/>
      <c r="M55" s="3"/>
      <c r="N55" s="3"/>
      <c r="O55" s="3"/>
      <c r="P55" s="3"/>
      <c r="Q55" s="3"/>
      <c r="R55" s="3"/>
    </row>
    <row r="56" spans="1:18" x14ac:dyDescent="0.25">
      <c r="A56" s="3"/>
      <c r="B56" s="3"/>
      <c r="C56" s="3">
        <f t="shared" si="3"/>
        <v>0.15999999999999992</v>
      </c>
      <c r="D56" s="11">
        <f t="shared" si="0"/>
        <v>-128.31318828922778</v>
      </c>
      <c r="E56" s="11">
        <f t="shared" si="1"/>
        <v>-0.35154298161432268</v>
      </c>
      <c r="F56" s="3">
        <f t="shared" si="2"/>
        <v>-35.154298161432266</v>
      </c>
      <c r="G56" s="3"/>
      <c r="H56" s="3"/>
      <c r="I56" s="3"/>
      <c r="J56" s="3"/>
      <c r="K56" s="3"/>
      <c r="L56" s="3"/>
      <c r="M56" s="3"/>
      <c r="N56" s="3"/>
      <c r="O56" s="3"/>
      <c r="P56" s="3"/>
      <c r="Q56" s="3"/>
      <c r="R56" s="3"/>
    </row>
    <row r="57" spans="1:18" x14ac:dyDescent="0.25">
      <c r="A57" s="3"/>
      <c r="B57" s="3"/>
      <c r="C57" s="3">
        <f t="shared" si="3"/>
        <v>0.14999999999999991</v>
      </c>
      <c r="D57" s="11">
        <f t="shared" si="0"/>
        <v>-131.9410695939273</v>
      </c>
      <c r="E57" s="11">
        <f t="shared" si="1"/>
        <v>-0.3614823824491159</v>
      </c>
      <c r="F57" s="3">
        <f t="shared" si="2"/>
        <v>-36.148238244911589</v>
      </c>
      <c r="G57" s="3"/>
      <c r="H57" s="3"/>
      <c r="I57" s="3"/>
      <c r="J57" s="3"/>
      <c r="K57" s="3"/>
      <c r="L57" s="3"/>
      <c r="M57" s="3"/>
      <c r="N57" s="3"/>
      <c r="O57" s="3"/>
      <c r="P57" s="3"/>
      <c r="Q57" s="3"/>
      <c r="R57" s="3"/>
    </row>
    <row r="58" spans="1:18" x14ac:dyDescent="0.25">
      <c r="A58" s="3"/>
      <c r="B58" s="3"/>
      <c r="C58" s="3">
        <f t="shared" si="3"/>
        <v>0.1399999999999999</v>
      </c>
      <c r="D58" s="11">
        <f t="shared" si="0"/>
        <v>-135.91705386372885</v>
      </c>
      <c r="E58" s="11">
        <f t="shared" si="1"/>
        <v>-0.37237549003761328</v>
      </c>
      <c r="F58" s="3">
        <f t="shared" si="2"/>
        <v>-37.23754900376133</v>
      </c>
      <c r="G58" s="3"/>
      <c r="H58" s="3"/>
      <c r="I58" s="3"/>
      <c r="J58" s="3"/>
      <c r="K58" s="3"/>
      <c r="L58" s="3"/>
      <c r="M58" s="3"/>
      <c r="N58" s="3"/>
      <c r="O58" s="3"/>
      <c r="P58" s="3"/>
      <c r="Q58" s="3"/>
      <c r="R58" s="3"/>
    </row>
    <row r="59" spans="1:18" x14ac:dyDescent="0.25">
      <c r="A59" s="3"/>
      <c r="B59" s="3"/>
      <c r="C59" s="3">
        <f t="shared" si="3"/>
        <v>0.12999999999999989</v>
      </c>
      <c r="D59" s="11">
        <f t="shared" si="0"/>
        <v>-140.30070033261563</v>
      </c>
      <c r="E59" s="11">
        <f t="shared" si="1"/>
        <v>-0.38438548036333048</v>
      </c>
      <c r="F59" s="3">
        <f t="shared" si="2"/>
        <v>-38.438548036333046</v>
      </c>
      <c r="G59" s="3"/>
      <c r="H59" s="3"/>
      <c r="I59" s="3"/>
      <c r="J59" s="3"/>
      <c r="K59" s="3"/>
      <c r="L59" s="3"/>
      <c r="M59" s="3"/>
      <c r="N59" s="3"/>
      <c r="O59" s="3"/>
      <c r="P59" s="3"/>
      <c r="Q59" s="3"/>
      <c r="R59" s="3"/>
    </row>
    <row r="60" spans="1:18" x14ac:dyDescent="0.25">
      <c r="A60" s="3"/>
      <c r="B60" s="3"/>
      <c r="C60" s="3">
        <f t="shared" si="3"/>
        <v>0.1199999999999999</v>
      </c>
      <c r="D60" s="11">
        <f t="shared" si="0"/>
        <v>-145.16677172585966</v>
      </c>
      <c r="E60" s="11">
        <f t="shared" si="1"/>
        <v>-0.39771718281057439</v>
      </c>
      <c r="F60" s="3">
        <f t="shared" si="2"/>
        <v>-39.771718281057439</v>
      </c>
      <c r="G60" s="3"/>
      <c r="H60" s="3"/>
      <c r="I60" s="3"/>
      <c r="J60" s="3"/>
      <c r="K60" s="3"/>
      <c r="L60" s="3"/>
      <c r="M60" s="3"/>
      <c r="N60" s="3"/>
      <c r="O60" s="3"/>
      <c r="P60" s="3"/>
      <c r="Q60" s="3"/>
      <c r="R60" s="3"/>
    </row>
    <row r="61" spans="1:18" x14ac:dyDescent="0.25">
      <c r="A61" s="3"/>
      <c r="B61" s="3"/>
      <c r="C61" s="3">
        <f t="shared" si="3"/>
        <v>0.1099999999999999</v>
      </c>
      <c r="D61" s="11">
        <f t="shared" si="0"/>
        <v>-150.61055450997435</v>
      </c>
      <c r="E61" s="11">
        <f t="shared" si="1"/>
        <v>-0.41263165619171055</v>
      </c>
      <c r="F61" s="3">
        <f t="shared" si="2"/>
        <v>-41.263165619171055</v>
      </c>
      <c r="G61" s="3"/>
      <c r="H61" s="3"/>
      <c r="I61" s="3"/>
      <c r="J61" s="3"/>
      <c r="K61" s="3"/>
      <c r="L61" s="3"/>
      <c r="M61" s="3"/>
      <c r="N61" s="3"/>
      <c r="O61" s="3"/>
      <c r="P61" s="3"/>
      <c r="Q61" s="3"/>
      <c r="R61" s="3"/>
    </row>
    <row r="62" spans="1:18" x14ac:dyDescent="0.25">
      <c r="A62" s="3"/>
      <c r="B62" s="3"/>
      <c r="C62" s="3">
        <f>C61-0.01</f>
        <v>9.9999999999999908E-2</v>
      </c>
      <c r="D62" s="11">
        <f t="shared" si="0"/>
        <v>-156.75560229415606</v>
      </c>
      <c r="E62" s="11">
        <f t="shared" si="1"/>
        <v>-0.42946740354563306</v>
      </c>
      <c r="F62" s="3">
        <f t="shared" si="2"/>
        <v>-42.946740354563303</v>
      </c>
      <c r="G62" s="3"/>
      <c r="H62" s="3"/>
      <c r="I62" s="3"/>
      <c r="J62" s="3"/>
      <c r="K62" s="3"/>
      <c r="L62" s="3"/>
      <c r="M62" s="3"/>
      <c r="N62" s="3"/>
      <c r="O62" s="3"/>
      <c r="P62" s="3"/>
      <c r="Q62" s="3"/>
      <c r="R62" s="3"/>
    </row>
    <row r="63" spans="1:18" x14ac:dyDescent="0.25">
      <c r="A63" s="3"/>
      <c r="B63" s="3"/>
      <c r="C63" s="3">
        <f t="shared" si="3"/>
        <v>8.9999999999999913E-2</v>
      </c>
      <c r="D63" s="11">
        <f t="shared" si="0"/>
        <v>-163.765282372569</v>
      </c>
      <c r="E63" s="11">
        <f t="shared" si="1"/>
        <v>-0.44867200650018907</v>
      </c>
      <c r="F63" s="3">
        <f t="shared" si="2"/>
        <v>-44.867200650018908</v>
      </c>
      <c r="G63" s="3"/>
      <c r="H63" s="3"/>
      <c r="I63" s="3"/>
      <c r="J63" s="3"/>
      <c r="K63" s="3"/>
      <c r="L63" s="3"/>
      <c r="M63" s="3"/>
      <c r="N63" s="3"/>
      <c r="O63" s="3"/>
      <c r="P63" s="3"/>
      <c r="Q63" s="3"/>
      <c r="R63" s="3"/>
    </row>
    <row r="64" spans="1:18" x14ac:dyDescent="0.25">
      <c r="A64" s="3"/>
      <c r="B64" s="3"/>
      <c r="C64" s="3">
        <f t="shared" si="3"/>
        <v>7.9999999999999918E-2</v>
      </c>
      <c r="D64" s="11">
        <f t="shared" si="0"/>
        <v>-171.8604451580884</v>
      </c>
      <c r="E64" s="11">
        <f t="shared" si="1"/>
        <v>-0.47085053467969423</v>
      </c>
      <c r="F64" s="3">
        <f t="shared" si="2"/>
        <v>-47.085053467969423</v>
      </c>
      <c r="G64" s="3"/>
      <c r="H64" s="3"/>
      <c r="I64" s="3"/>
      <c r="J64" s="3"/>
      <c r="K64" s="3"/>
      <c r="L64" s="3"/>
      <c r="M64" s="3"/>
      <c r="N64" s="3"/>
      <c r="O64" s="3"/>
      <c r="P64" s="3"/>
      <c r="Q64" s="3"/>
      <c r="R64" s="3"/>
    </row>
    <row r="65" spans="1:18" x14ac:dyDescent="0.25">
      <c r="A65" s="3"/>
      <c r="B65" s="3"/>
      <c r="C65" s="3">
        <f t="shared" si="3"/>
        <v>6.9999999999999923E-2</v>
      </c>
      <c r="D65" s="11">
        <f t="shared" si="0"/>
        <v>-181.34717797115619</v>
      </c>
      <c r="E65" s="11">
        <f t="shared" si="1"/>
        <v>-0.4968415834826197</v>
      </c>
      <c r="F65" s="3">
        <f t="shared" si="2"/>
        <v>-49.684158348261967</v>
      </c>
      <c r="G65" s="3"/>
      <c r="H65" s="3"/>
      <c r="I65" s="3"/>
      <c r="J65" s="3" t="s">
        <v>63</v>
      </c>
      <c r="K65" s="3"/>
      <c r="L65" s="3"/>
      <c r="M65" s="3"/>
      <c r="N65" s="3"/>
      <c r="O65" s="3"/>
      <c r="P65" s="3"/>
      <c r="Q65" s="3"/>
      <c r="R65" s="3"/>
    </row>
    <row r="66" spans="1:18" x14ac:dyDescent="0.25">
      <c r="A66" s="3"/>
      <c r="B66" s="3"/>
      <c r="C66" s="3">
        <f t="shared" si="3"/>
        <v>5.9999999999999921E-2</v>
      </c>
      <c r="D66" s="11">
        <f t="shared" si="0"/>
        <v>-192.66134837141774</v>
      </c>
      <c r="E66" s="11">
        <f t="shared" si="1"/>
        <v>-0.52783931060662392</v>
      </c>
      <c r="F66" s="3">
        <f t="shared" si="2"/>
        <v>-52.78393106066239</v>
      </c>
      <c r="G66" s="3"/>
      <c r="H66" s="3"/>
      <c r="I66" s="3"/>
      <c r="J66" s="3"/>
      <c r="K66" s="3"/>
      <c r="L66" s="3"/>
      <c r="M66" s="3"/>
      <c r="N66" s="3"/>
      <c r="O66" s="3"/>
      <c r="P66" s="3"/>
      <c r="Q66" s="3"/>
      <c r="R66" s="3"/>
    </row>
    <row r="67" spans="1:18" x14ac:dyDescent="0.25">
      <c r="A67" s="3"/>
      <c r="B67" s="3"/>
      <c r="C67" s="3">
        <f t="shared" si="3"/>
        <v>4.999999999999992E-2</v>
      </c>
      <c r="D67" s="11">
        <f t="shared" si="0"/>
        <v>-206.44019919479851</v>
      </c>
      <c r="E67" s="11">
        <f t="shared" si="1"/>
        <v>-0.56558958683506444</v>
      </c>
      <c r="F67" s="3">
        <f t="shared" si="2"/>
        <v>-56.558958683506447</v>
      </c>
      <c r="G67" s="3"/>
      <c r="H67" s="3"/>
      <c r="I67" s="3"/>
      <c r="J67" s="3"/>
      <c r="K67" s="3"/>
      <c r="L67" s="3"/>
      <c r="M67" s="3"/>
      <c r="N67" s="3"/>
      <c r="O67" s="3"/>
      <c r="P67" s="3"/>
      <c r="Q67" s="3"/>
      <c r="R67" s="3"/>
    </row>
    <row r="68" spans="1:18" x14ac:dyDescent="0.25">
      <c r="A68" s="3"/>
      <c r="B68" s="3"/>
      <c r="C68" s="3">
        <f t="shared" si="3"/>
        <v>3.9999999999999918E-2</v>
      </c>
      <c r="D68" s="11">
        <f t="shared" si="0"/>
        <v>-223.62817843122463</v>
      </c>
      <c r="E68" s="11">
        <f t="shared" si="1"/>
        <v>-0.61267994090746469</v>
      </c>
      <c r="F68" s="3">
        <f t="shared" si="2"/>
        <v>-61.26799409074647</v>
      </c>
      <c r="G68" s="3"/>
      <c r="H68" s="3"/>
      <c r="I68" s="3"/>
      <c r="J68" s="3"/>
      <c r="K68" s="3"/>
      <c r="L68" s="3"/>
      <c r="M68" s="3"/>
      <c r="N68" s="3"/>
      <c r="O68" s="3"/>
      <c r="P68" s="3"/>
      <c r="Q68" s="3"/>
      <c r="R68" s="3"/>
    </row>
    <row r="69" spans="1:18" x14ac:dyDescent="0.25">
      <c r="A69" s="3"/>
      <c r="B69" s="3"/>
      <c r="C69" s="3">
        <f t="shared" si="3"/>
        <v>2.9999999999999916E-2</v>
      </c>
      <c r="D69" s="11">
        <f t="shared" si="0"/>
        <v>-245.54747359537916</v>
      </c>
      <c r="E69" s="11">
        <f t="shared" si="1"/>
        <v>-0.67273280437090177</v>
      </c>
      <c r="F69" s="3">
        <f t="shared" si="2"/>
        <v>-67.273280437090179</v>
      </c>
      <c r="G69" s="3"/>
      <c r="H69" s="3"/>
      <c r="I69" s="3"/>
      <c r="J69" s="3"/>
      <c r="K69" s="3"/>
      <c r="L69" s="3"/>
      <c r="M69" s="3"/>
      <c r="N69" s="3"/>
      <c r="O69" s="3"/>
      <c r="P69" s="3"/>
      <c r="Q69" s="3"/>
      <c r="R69" s="3"/>
    </row>
    <row r="70" spans="1:18" x14ac:dyDescent="0.25">
      <c r="A70" s="3"/>
      <c r="B70" s="3"/>
      <c r="C70" s="3">
        <f t="shared" si="3"/>
        <v>1.9999999999999914E-2</v>
      </c>
      <c r="D70" s="11">
        <f t="shared" si="0"/>
        <v>-273.05398724722039</v>
      </c>
      <c r="E70" s="11">
        <f t="shared" si="1"/>
        <v>-0.74809311574580928</v>
      </c>
      <c r="F70" s="3">
        <f t="shared" si="2"/>
        <v>-74.809311574580931</v>
      </c>
      <c r="G70" s="3"/>
      <c r="H70" s="3"/>
      <c r="I70" s="3"/>
      <c r="J70" s="3"/>
      <c r="K70" s="3"/>
      <c r="L70" s="3"/>
      <c r="M70" s="3"/>
      <c r="N70" s="3"/>
      <c r="O70" s="3"/>
      <c r="P70" s="3"/>
      <c r="Q70" s="3"/>
      <c r="R70" s="3"/>
    </row>
    <row r="71" spans="1:18" x14ac:dyDescent="0.25">
      <c r="A71" s="3"/>
      <c r="B71" s="3" t="s">
        <v>58</v>
      </c>
      <c r="C71" s="3">
        <f t="shared" si="3"/>
        <v>9.9999999999999135E-3</v>
      </c>
      <c r="D71" s="11">
        <f t="shared" si="0"/>
        <v>-292.03343459055441</v>
      </c>
      <c r="E71" s="11">
        <f t="shared" si="1"/>
        <v>-0.80009160161795723</v>
      </c>
      <c r="F71" s="3">
        <f t="shared" si="2"/>
        <v>-80.00916016179572</v>
      </c>
      <c r="G71" s="3"/>
      <c r="H71" s="3"/>
      <c r="I71" s="3"/>
      <c r="J71" s="3"/>
      <c r="K71" s="3"/>
      <c r="L71" s="3"/>
      <c r="M71" s="3"/>
      <c r="N71" s="3"/>
      <c r="O71" s="3"/>
      <c r="P71" s="3"/>
      <c r="Q71" s="3"/>
      <c r="R71" s="3"/>
    </row>
    <row r="72" spans="1:18" x14ac:dyDescent="0.25">
      <c r="A72" s="3"/>
      <c r="B72" s="3"/>
      <c r="C72" s="3"/>
      <c r="D72" s="3"/>
      <c r="E72" s="3"/>
      <c r="F72" s="3"/>
      <c r="G72" s="3"/>
      <c r="H72" s="3"/>
      <c r="I72" s="3"/>
      <c r="J72" s="3"/>
      <c r="K72" s="3"/>
      <c r="L72" s="3"/>
      <c r="M72" s="3"/>
      <c r="N72" s="3"/>
      <c r="O72" s="3"/>
      <c r="P72" s="3"/>
      <c r="Q72" s="3"/>
      <c r="R72" s="3"/>
    </row>
    <row r="73" spans="1:18" x14ac:dyDescent="0.25">
      <c r="A73" s="3"/>
      <c r="B73" s="3"/>
      <c r="C73" s="3"/>
      <c r="D73" s="3"/>
      <c r="E73" s="3"/>
      <c r="F73" s="3"/>
      <c r="G73" s="3"/>
      <c r="H73" s="3"/>
      <c r="I73" s="3"/>
      <c r="J73" s="3"/>
      <c r="K73" s="3"/>
      <c r="L73" s="3"/>
      <c r="M73" s="3"/>
      <c r="N73" s="3"/>
      <c r="O73" s="3"/>
      <c r="P73" s="3"/>
      <c r="Q73" s="3"/>
      <c r="R73" s="3"/>
    </row>
    <row r="74" spans="1:18" x14ac:dyDescent="0.25">
      <c r="A74" s="3"/>
      <c r="B74" s="12"/>
      <c r="C74" s="12"/>
      <c r="D74" s="12"/>
      <c r="E74" s="12"/>
      <c r="F74" s="12"/>
      <c r="G74" s="12"/>
      <c r="H74" s="12"/>
      <c r="I74" s="12"/>
      <c r="J74" s="3"/>
      <c r="K74" s="3"/>
      <c r="L74" s="3"/>
      <c r="M74" s="3"/>
      <c r="N74" s="3"/>
      <c r="O74" s="3"/>
      <c r="P74" s="3"/>
      <c r="Q74" s="3"/>
      <c r="R74" s="3"/>
    </row>
    <row r="75" spans="1:18" x14ac:dyDescent="0.25">
      <c r="A75" s="3"/>
      <c r="B75" s="12"/>
      <c r="C75" s="12"/>
      <c r="D75" s="12"/>
      <c r="E75" s="12"/>
      <c r="F75" s="12"/>
      <c r="G75" s="12"/>
      <c r="H75" s="12"/>
      <c r="I75" s="12"/>
      <c r="J75" s="3"/>
      <c r="K75" s="3"/>
      <c r="L75" s="3"/>
      <c r="M75" s="3"/>
      <c r="N75" s="3"/>
      <c r="O75" s="3"/>
      <c r="P75" s="3"/>
      <c r="Q75" s="3"/>
      <c r="R75" s="3"/>
    </row>
    <row r="76" spans="1:18" x14ac:dyDescent="0.25">
      <c r="A76" s="3"/>
      <c r="B76" s="12"/>
      <c r="C76" s="12" t="s">
        <v>56</v>
      </c>
      <c r="D76" s="12"/>
      <c r="E76" s="12" t="s">
        <v>62</v>
      </c>
      <c r="F76" s="12"/>
      <c r="G76" s="12"/>
      <c r="H76" s="12"/>
      <c r="I76" s="12"/>
      <c r="J76" s="3"/>
      <c r="K76" s="3"/>
      <c r="L76" s="3"/>
      <c r="M76" s="3"/>
      <c r="N76" s="3"/>
      <c r="O76" s="3"/>
      <c r="P76" s="3"/>
      <c r="Q76" s="3"/>
      <c r="R76" s="3"/>
    </row>
    <row r="77" spans="1:18" x14ac:dyDescent="0.25">
      <c r="A77" s="3"/>
      <c r="B77" s="12"/>
      <c r="C77" s="12">
        <v>9.9999999999999135E-3</v>
      </c>
      <c r="D77" s="13">
        <v>28.926031276419899</v>
      </c>
      <c r="E77" s="13">
        <f>ABS(D77)</f>
        <v>28.926031276419899</v>
      </c>
      <c r="F77" s="12"/>
      <c r="G77" s="12"/>
      <c r="H77" s="12"/>
      <c r="I77" s="12"/>
      <c r="J77" s="3"/>
      <c r="K77" s="3"/>
      <c r="L77" s="3"/>
      <c r="M77" s="3"/>
      <c r="N77" s="3"/>
      <c r="O77" s="3"/>
      <c r="P77" s="3"/>
      <c r="Q77" s="3"/>
      <c r="R77" s="3"/>
    </row>
    <row r="78" spans="1:18" x14ac:dyDescent="0.25">
      <c r="A78" s="3"/>
      <c r="B78" s="12"/>
      <c r="C78" s="12">
        <v>1.9999999999999914E-2</v>
      </c>
      <c r="D78" s="13">
        <v>-29.450360120380708</v>
      </c>
      <c r="E78" s="13">
        <f t="shared" ref="E78:E101" si="4">ABS(D78)</f>
        <v>29.450360120380708</v>
      </c>
      <c r="F78" s="12"/>
      <c r="G78" s="12"/>
      <c r="H78" s="12"/>
      <c r="I78" s="12"/>
      <c r="J78" s="3"/>
      <c r="K78" s="3"/>
      <c r="L78" s="3"/>
      <c r="M78" s="3"/>
      <c r="N78" s="3"/>
      <c r="O78" s="3"/>
      <c r="P78" s="3"/>
      <c r="Q78" s="3"/>
      <c r="R78" s="3"/>
    </row>
    <row r="79" spans="1:18" x14ac:dyDescent="0.25">
      <c r="B79" s="14"/>
      <c r="C79" s="12">
        <v>2.9999999999999916E-2</v>
      </c>
      <c r="D79" s="13">
        <v>-30.006451561512836</v>
      </c>
      <c r="E79" s="13">
        <f t="shared" si="4"/>
        <v>30.006451561512836</v>
      </c>
      <c r="F79" s="14"/>
      <c r="G79" s="14"/>
      <c r="H79" s="14"/>
      <c r="I79" s="14"/>
    </row>
    <row r="80" spans="1:18" x14ac:dyDescent="0.25">
      <c r="B80" s="14"/>
      <c r="C80" s="12">
        <v>3.9999999999999918E-2</v>
      </c>
      <c r="D80" s="13">
        <v>-30.597678877120458</v>
      </c>
      <c r="E80" s="13">
        <f t="shared" si="4"/>
        <v>30.597678877120458</v>
      </c>
      <c r="F80" s="14"/>
      <c r="G80" s="14"/>
      <c r="H80" s="14"/>
      <c r="I80" s="14"/>
    </row>
    <row r="81" spans="2:9" x14ac:dyDescent="0.25">
      <c r="B81" s="14"/>
      <c r="C81" s="12">
        <v>4.999999999999992E-2</v>
      </c>
      <c r="D81" s="13">
        <v>-31.22793873976039</v>
      </c>
      <c r="E81" s="13">
        <f t="shared" si="4"/>
        <v>31.22793873976039</v>
      </c>
      <c r="F81" s="14"/>
      <c r="G81" s="14"/>
      <c r="H81" s="14"/>
      <c r="I81" s="14"/>
    </row>
    <row r="82" spans="2:9" x14ac:dyDescent="0.25">
      <c r="B82" s="14"/>
      <c r="C82" s="12">
        <v>5.9999999999999921E-2</v>
      </c>
      <c r="D82" s="13">
        <v>-31.901760225148074</v>
      </c>
      <c r="E82" s="13">
        <f t="shared" si="4"/>
        <v>31.901760225148074</v>
      </c>
      <c r="F82" s="14"/>
      <c r="G82" s="14"/>
      <c r="H82" s="14"/>
      <c r="I82" s="14"/>
    </row>
    <row r="83" spans="2:9" x14ac:dyDescent="0.25">
      <c r="B83" s="14"/>
      <c r="C83" s="12">
        <v>6.9999999999999923E-2</v>
      </c>
      <c r="D83" s="13">
        <v>-32.624442822436265</v>
      </c>
      <c r="E83" s="13">
        <f t="shared" si="4"/>
        <v>32.624442822436265</v>
      </c>
      <c r="F83" s="14"/>
      <c r="G83" s="14"/>
      <c r="H83" s="14"/>
      <c r="I83" s="14"/>
    </row>
    <row r="84" spans="2:9" x14ac:dyDescent="0.25">
      <c r="B84" s="14"/>
      <c r="C84" s="12">
        <v>7.9999999999999918E-2</v>
      </c>
      <c r="D84" s="13">
        <v>-33.402232989825535</v>
      </c>
      <c r="E84" s="13">
        <f t="shared" si="4"/>
        <v>33.402232989825535</v>
      </c>
      <c r="F84" s="14"/>
      <c r="G84" s="14"/>
      <c r="H84" s="14"/>
      <c r="I84" s="14"/>
    </row>
    <row r="85" spans="2:9" x14ac:dyDescent="0.25">
      <c r="B85" s="14"/>
      <c r="C85" s="12">
        <v>8.9999999999999913E-2</v>
      </c>
      <c r="D85" s="13">
        <v>-34.242552594034599</v>
      </c>
      <c r="E85" s="13">
        <f t="shared" si="4"/>
        <v>34.242552594034599</v>
      </c>
      <c r="F85" s="14"/>
      <c r="G85" s="14"/>
      <c r="H85" s="14"/>
      <c r="I85" s="14"/>
    </row>
    <row r="86" spans="2:9" x14ac:dyDescent="0.25">
      <c r="B86" s="14"/>
      <c r="C86" s="12">
        <v>9.9999999999999908E-2</v>
      </c>
      <c r="D86" s="13">
        <v>-35.154298161432266</v>
      </c>
      <c r="E86" s="13">
        <f t="shared" si="4"/>
        <v>35.154298161432266</v>
      </c>
      <c r="F86" s="14"/>
      <c r="G86" s="14"/>
      <c r="H86" s="14"/>
      <c r="I86" s="14"/>
    </row>
    <row r="87" spans="2:9" x14ac:dyDescent="0.25">
      <c r="B87" s="14"/>
      <c r="C87" s="12">
        <v>0.1099999999999999</v>
      </c>
      <c r="D87" s="13">
        <v>-36.148238244911589</v>
      </c>
      <c r="E87" s="13">
        <f t="shared" si="4"/>
        <v>36.148238244911589</v>
      </c>
      <c r="F87" s="14"/>
      <c r="G87" s="14"/>
      <c r="H87" s="14"/>
      <c r="I87" s="14"/>
    </row>
    <row r="88" spans="2:9" x14ac:dyDescent="0.25">
      <c r="B88" s="14"/>
      <c r="C88" s="12">
        <v>0.1199999999999999</v>
      </c>
      <c r="D88" s="13">
        <v>-37.23754900376133</v>
      </c>
      <c r="E88" s="13">
        <f t="shared" si="4"/>
        <v>37.23754900376133</v>
      </c>
      <c r="F88" s="14"/>
      <c r="G88" s="14"/>
      <c r="H88" s="14"/>
      <c r="I88" s="14"/>
    </row>
    <row r="89" spans="2:9" x14ac:dyDescent="0.25">
      <c r="B89" s="14"/>
      <c r="C89" s="12">
        <v>0.12999999999999989</v>
      </c>
      <c r="D89" s="13">
        <v>-38.438548036333046</v>
      </c>
      <c r="E89" s="13">
        <f t="shared" si="4"/>
        <v>38.438548036333046</v>
      </c>
      <c r="F89" s="14"/>
      <c r="G89" s="14"/>
      <c r="H89" s="14"/>
      <c r="I89" s="14"/>
    </row>
    <row r="90" spans="2:9" x14ac:dyDescent="0.25">
      <c r="B90" s="14"/>
      <c r="C90" s="12">
        <v>0.1399999999999999</v>
      </c>
      <c r="D90" s="13">
        <v>-39.771718281057439</v>
      </c>
      <c r="E90" s="13">
        <f t="shared" si="4"/>
        <v>39.771718281057439</v>
      </c>
      <c r="F90" s="14"/>
      <c r="G90" s="14"/>
      <c r="H90" s="14"/>
      <c r="I90" s="14"/>
    </row>
    <row r="91" spans="2:9" x14ac:dyDescent="0.25">
      <c r="B91" s="14"/>
      <c r="C91" s="12">
        <v>0.14999999999999991</v>
      </c>
      <c r="D91" s="13">
        <v>-41.263165619171055</v>
      </c>
      <c r="E91" s="13">
        <f t="shared" si="4"/>
        <v>41.263165619171055</v>
      </c>
      <c r="F91" s="14"/>
      <c r="G91" s="14"/>
      <c r="H91" s="14"/>
      <c r="I91" s="14"/>
    </row>
    <row r="92" spans="2:9" x14ac:dyDescent="0.25">
      <c r="B92" s="14"/>
      <c r="C92" s="12">
        <v>0.15999999999999992</v>
      </c>
      <c r="D92" s="13">
        <v>-42.946740354563303</v>
      </c>
      <c r="E92" s="13">
        <f t="shared" si="4"/>
        <v>42.946740354563303</v>
      </c>
      <c r="F92" s="14"/>
      <c r="G92" s="14"/>
      <c r="H92" s="14"/>
      <c r="I92" s="14"/>
    </row>
    <row r="93" spans="2:9" x14ac:dyDescent="0.25">
      <c r="B93" s="14"/>
      <c r="C93" s="12">
        <v>0.16999999999999993</v>
      </c>
      <c r="D93" s="13">
        <v>-44.867200650018908</v>
      </c>
      <c r="E93" s="13">
        <f t="shared" si="4"/>
        <v>44.867200650018908</v>
      </c>
      <c r="F93" s="14"/>
      <c r="G93" s="14"/>
      <c r="H93" s="14"/>
      <c r="I93" s="14"/>
    </row>
    <row r="94" spans="2:9" x14ac:dyDescent="0.25">
      <c r="B94" s="14"/>
      <c r="C94" s="12">
        <v>0.17999999999999994</v>
      </c>
      <c r="D94" s="13">
        <v>-47.085053467969423</v>
      </c>
      <c r="E94" s="13">
        <f t="shared" si="4"/>
        <v>47.085053467969423</v>
      </c>
      <c r="F94" s="14"/>
      <c r="G94" s="14"/>
      <c r="H94" s="14"/>
      <c r="I94" s="14"/>
    </row>
    <row r="95" spans="2:9" x14ac:dyDescent="0.25">
      <c r="B95" s="14"/>
      <c r="C95" s="12">
        <v>0.18999999999999995</v>
      </c>
      <c r="D95" s="13">
        <v>-49.684158348261967</v>
      </c>
      <c r="E95" s="13">
        <f t="shared" si="4"/>
        <v>49.684158348261967</v>
      </c>
      <c r="F95" s="14"/>
      <c r="G95" s="14"/>
      <c r="H95" s="14"/>
      <c r="I95" s="14"/>
    </row>
    <row r="96" spans="2:9" x14ac:dyDescent="0.25">
      <c r="B96" s="14"/>
      <c r="C96" s="12">
        <v>0.19999999999999996</v>
      </c>
      <c r="D96" s="13">
        <v>-52.78393106066239</v>
      </c>
      <c r="E96" s="13">
        <f t="shared" si="4"/>
        <v>52.78393106066239</v>
      </c>
      <c r="F96" s="14"/>
      <c r="G96" s="14"/>
      <c r="H96" s="14"/>
      <c r="I96" s="14"/>
    </row>
    <row r="97" spans="2:9" x14ac:dyDescent="0.25">
      <c r="B97" s="14"/>
      <c r="C97" s="12">
        <v>0.20999999999999996</v>
      </c>
      <c r="D97" s="13">
        <v>-56.558958683506447</v>
      </c>
      <c r="E97" s="13">
        <f t="shared" si="4"/>
        <v>56.558958683506447</v>
      </c>
      <c r="F97" s="14"/>
      <c r="G97" s="14"/>
      <c r="H97" s="14"/>
      <c r="I97" s="14"/>
    </row>
    <row r="98" spans="2:9" x14ac:dyDescent="0.25">
      <c r="B98" s="14"/>
      <c r="C98" s="12">
        <v>0.21999999999999997</v>
      </c>
      <c r="D98" s="13">
        <v>-61.26799409074647</v>
      </c>
      <c r="E98" s="13">
        <f t="shared" si="4"/>
        <v>61.26799409074647</v>
      </c>
      <c r="F98" s="14"/>
      <c r="G98" s="14"/>
      <c r="H98" s="14"/>
      <c r="I98" s="14"/>
    </row>
    <row r="99" spans="2:9" x14ac:dyDescent="0.25">
      <c r="B99" s="14"/>
      <c r="C99" s="12">
        <v>0.22999999999999998</v>
      </c>
      <c r="D99" s="13">
        <v>-67.273280437090179</v>
      </c>
      <c r="E99" s="13">
        <f t="shared" si="4"/>
        <v>67.273280437090179</v>
      </c>
      <c r="F99" s="14"/>
      <c r="G99" s="14"/>
      <c r="H99" s="14"/>
      <c r="I99" s="14"/>
    </row>
    <row r="100" spans="2:9" x14ac:dyDescent="0.25">
      <c r="B100" s="14"/>
      <c r="C100" s="12">
        <v>0.24</v>
      </c>
      <c r="D100" s="13">
        <v>-74.809311574580931</v>
      </c>
      <c r="E100" s="13">
        <f t="shared" si="4"/>
        <v>74.809311574580931</v>
      </c>
      <c r="F100" s="14"/>
      <c r="G100" s="14"/>
      <c r="H100" s="14"/>
      <c r="I100" s="14"/>
    </row>
    <row r="101" spans="2:9" x14ac:dyDescent="0.25">
      <c r="B101" s="14"/>
      <c r="C101" s="12">
        <v>0.25</v>
      </c>
      <c r="D101" s="13">
        <v>-80.00916016179572</v>
      </c>
      <c r="E101" s="13">
        <f t="shared" si="4"/>
        <v>80.00916016179572</v>
      </c>
      <c r="F101" s="14"/>
      <c r="G101" s="14"/>
      <c r="H101" s="14"/>
      <c r="I101" s="14"/>
    </row>
    <row r="102" spans="2:9" x14ac:dyDescent="0.25">
      <c r="B102" s="14"/>
      <c r="C102" s="14"/>
      <c r="D102" s="14"/>
      <c r="E102" s="14"/>
      <c r="F102" s="14"/>
      <c r="G102" s="14"/>
      <c r="H102" s="14"/>
      <c r="I102" s="14"/>
    </row>
    <row r="103" spans="2:9" x14ac:dyDescent="0.25">
      <c r="B103" s="14"/>
      <c r="C103" s="14"/>
      <c r="D103" s="14"/>
      <c r="E103" s="14"/>
      <c r="F103" s="14"/>
      <c r="G103" s="14"/>
      <c r="H103" s="14"/>
      <c r="I103" s="14"/>
    </row>
    <row r="104" spans="2:9" x14ac:dyDescent="0.25">
      <c r="B104" s="14"/>
      <c r="C104" s="14"/>
      <c r="D104" s="14"/>
      <c r="E104" s="14"/>
      <c r="F104" s="14"/>
      <c r="G104" s="14"/>
      <c r="H104" s="14"/>
      <c r="I104" s="14"/>
    </row>
    <row r="105" spans="2:9" x14ac:dyDescent="0.25">
      <c r="B105" s="14"/>
      <c r="C105" s="14"/>
      <c r="D105" s="14"/>
      <c r="E105" s="14"/>
      <c r="F105" s="14"/>
      <c r="G105" s="14"/>
      <c r="H105" s="14"/>
      <c r="I105" s="14"/>
    </row>
  </sheetData>
  <sortState xmlns:xlrd2="http://schemas.microsoft.com/office/spreadsheetml/2017/richdata2" ref="C77:C101">
    <sortCondition ref="C77:C101"/>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A684C182A9454DB9470F77E64B33BB" ma:contentTypeVersion="10" ma:contentTypeDescription="Create a new document." ma:contentTypeScope="" ma:versionID="a66224199bab1ff94cea6773994413d1">
  <xsd:schema xmlns:xsd="http://www.w3.org/2001/XMLSchema" xmlns:xs="http://www.w3.org/2001/XMLSchema" xmlns:p="http://schemas.microsoft.com/office/2006/metadata/properties" xmlns:ns3="0b14384c-453f-4183-9e7f-397303ea2321" targetNamespace="http://schemas.microsoft.com/office/2006/metadata/properties" ma:root="true" ma:fieldsID="c6d629210b03f8938037ef369419b8a3" ns3:_="">
    <xsd:import namespace="0b14384c-453f-4183-9e7f-397303ea232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14384c-453f-4183-9e7f-397303ea23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b14384c-453f-4183-9e7f-397303ea2321" xsi:nil="true"/>
  </documentManagement>
</p:properties>
</file>

<file path=customXml/itemProps1.xml><?xml version="1.0" encoding="utf-8"?>
<ds:datastoreItem xmlns:ds="http://schemas.openxmlformats.org/officeDocument/2006/customXml" ds:itemID="{8EBA7B22-A68F-45E8-BA95-201814A4EC94}">
  <ds:schemaRefs>
    <ds:schemaRef ds:uri="http://schemas.microsoft.com/sharepoint/v3/contenttype/forms"/>
  </ds:schemaRefs>
</ds:datastoreItem>
</file>

<file path=customXml/itemProps2.xml><?xml version="1.0" encoding="utf-8"?>
<ds:datastoreItem xmlns:ds="http://schemas.openxmlformats.org/officeDocument/2006/customXml" ds:itemID="{723AF5DB-EDE1-4D3F-9D55-8261AF87E6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14384c-453f-4183-9e7f-397303ea23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0BE3F3-EBC5-4CEB-990E-70DA3D9F2D63}">
  <ds:schemaRefs>
    <ds:schemaRef ds:uri="http://schemas.microsoft.com/office/infopath/2007/PartnerControls"/>
    <ds:schemaRef ds:uri="0b14384c-453f-4183-9e7f-397303ea2321"/>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 Option</vt:lpstr>
      <vt:lpstr>Historical data</vt:lpstr>
      <vt:lpstr>Binomial BOPM model</vt:lpstr>
      <vt:lpstr>Black Scholes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Joey</dc:creator>
  <cp:lastModifiedBy>joey bridgham</cp:lastModifiedBy>
  <dcterms:created xsi:type="dcterms:W3CDTF">2025-11-23T17:33:42Z</dcterms:created>
  <dcterms:modified xsi:type="dcterms:W3CDTF">2026-03-27T16:08:33Z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0x010100F0A684C182A9454DB9470F77E64B33BB</vt:lpwstr>
  </property>
</Properties>
</file>