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DCF Model" sheetId="4" state="visible" r:id="rId4"/>
    <sheet xmlns:r="http://schemas.openxmlformats.org/officeDocument/2006/relationships" name="Valuation &amp; Peer Com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;(#,##0);&quot;-&quot;"/>
    <numFmt numFmtId="165" formatCode="#,##0.0"/>
    <numFmt numFmtId="166" formatCode="$#,##0.00;($#,##0.00);&quot;-&quot;"/>
    <numFmt numFmtId="167" formatCode="0.0%"/>
    <numFmt numFmtId="168" formatCode="0.00&quot;x&quot;"/>
    <numFmt numFmtId="169" formatCode="$#,##0.00"/>
    <numFmt numFmtId="170" formatCode="0.0000"/>
    <numFmt numFmtId="171" formatCode="$#,##0"/>
    <numFmt numFmtId="172" formatCode="0.0&quot;x&quot;"/>
  </numFmts>
  <fonts count="1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i val="1"/>
      <color rgb="00888888"/>
      <sz val="8"/>
    </font>
    <font>
      <name val="Arial"/>
      <color rgb="000000FF"/>
      <sz val="10"/>
    </font>
    <font>
      <name val="Arial"/>
      <b val="1"/>
      <color rgb="00000000"/>
      <sz val="11"/>
    </font>
    <font>
      <name val="Arial"/>
      <b val="1"/>
      <sz val="11"/>
    </font>
    <font>
      <name val="Arial"/>
      <i val="1"/>
      <color rgb="00FF0000"/>
      <sz val="10"/>
    </font>
    <font>
      <name val="Arial"/>
      <color rgb="00FF0000"/>
      <sz val="10"/>
    </font>
    <font>
      <name val="Arial"/>
      <color rgb="00008000"/>
      <sz val="10"/>
    </font>
    <font/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164" fontId="7" fillId="0" borderId="1" pivotButton="0" quotePrefix="0" xfId="0"/>
    <xf numFmtId="164" fontId="5" fillId="0" borderId="1" pivotButton="0" quotePrefix="0" xfId="0"/>
    <xf numFmtId="0" fontId="8" fillId="0" borderId="0" pivotButton="0" quotePrefix="0" xfId="0"/>
    <xf numFmtId="164" fontId="9" fillId="0" borderId="0" pivotButton="0" quotePrefix="0" xfId="0"/>
    <xf numFmtId="164" fontId="0" fillId="0" borderId="0" pivotButton="0" quotePrefix="0" xfId="0"/>
    <xf numFmtId="164" fontId="0" fillId="0" borderId="1" pivotButton="0" quotePrefix="0" xfId="0"/>
    <xf numFmtId="164" fontId="5" fillId="0" borderId="0" pivotButton="0" quotePrefix="0" xfId="0"/>
    <xf numFmtId="0" fontId="10" fillId="0" borderId="2" pivotButton="0" quotePrefix="0" xfId="0"/>
    <xf numFmtId="164" fontId="10" fillId="0" borderId="2" pivotButton="0" quotePrefix="0" xfId="0"/>
    <xf numFmtId="164" fontId="0" fillId="0" borderId="2" pivotButton="0" quotePrefix="0" xfId="0"/>
    <xf numFmtId="165" fontId="9" fillId="0" borderId="0" pivotButton="0" quotePrefix="0" xfId="0"/>
    <xf numFmtId="165" fontId="0" fillId="0" borderId="0" pivotButton="0" quotePrefix="0" xfId="0"/>
    <xf numFmtId="166" fontId="5" fillId="0" borderId="0" pivotButton="0" quotePrefix="0" xfId="0"/>
    <xf numFmtId="166" fontId="0" fillId="0" borderId="0" pivotButton="0" quotePrefix="0" xfId="0"/>
    <xf numFmtId="0" fontId="10" fillId="3" borderId="0" pivotButton="0" quotePrefix="0" xfId="0"/>
    <xf numFmtId="167" fontId="6" fillId="0" borderId="0" pivotButton="0" quotePrefix="0" xfId="0"/>
    <xf numFmtId="167" fontId="0" fillId="0" borderId="0" pivotButton="0" quotePrefix="0" xfId="0"/>
    <xf numFmtId="0" fontId="11" fillId="0" borderId="2" pivotButton="0" quotePrefix="0" xfId="0"/>
    <xf numFmtId="164" fontId="11" fillId="0" borderId="2" pivotButton="0" quotePrefix="0" xfId="0"/>
    <xf numFmtId="0" fontId="12" fillId="0" borderId="0" pivotButton="0" quotePrefix="0" xfId="0"/>
    <xf numFmtId="164" fontId="13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64" fontId="14" fillId="0" borderId="0" pivotButton="0" quotePrefix="0" xfId="0"/>
    <xf numFmtId="0" fontId="5" fillId="0" borderId="2" pivotButton="0" quotePrefix="0" xfId="0"/>
    <xf numFmtId="164" fontId="5" fillId="0" borderId="2" pivotButton="0" quotePrefix="0" xfId="0"/>
    <xf numFmtId="169" fontId="9" fillId="4" borderId="0" pivotButton="0" quotePrefix="0" xfId="0"/>
    <xf numFmtId="2" fontId="9" fillId="4" borderId="0" pivotButton="0" quotePrefix="0" xfId="0"/>
    <xf numFmtId="165" fontId="9" fillId="4" borderId="0" pivotButton="0" quotePrefix="0" xfId="0"/>
    <xf numFmtId="4" fontId="9" fillId="4" borderId="0" pivotButton="0" quotePrefix="0" xfId="0"/>
    <xf numFmtId="167" fontId="9" fillId="4" borderId="0" pivotButton="0" quotePrefix="0" xfId="0"/>
    <xf numFmtId="3" fontId="9" fillId="4" borderId="0" pivotButton="0" quotePrefix="0" xfId="0"/>
    <xf numFmtId="1" fontId="9" fillId="4" borderId="0" pivotButton="0" quotePrefix="0" xfId="0"/>
    <xf numFmtId="4" fontId="9" fillId="0" borderId="0" pivotButton="0" quotePrefix="0" xfId="0"/>
    <xf numFmtId="165" fontId="5" fillId="0" borderId="1" pivotButton="0" quotePrefix="0" xfId="0"/>
    <xf numFmtId="169" fontId="14" fillId="0" borderId="0" pivotButton="0" quotePrefix="0" xfId="0"/>
    <xf numFmtId="164" fontId="6" fillId="0" borderId="0" pivotButton="0" quotePrefix="0" xfId="0"/>
    <xf numFmtId="164" fontId="9" fillId="4" borderId="0" pivotButton="0" quotePrefix="0" xfId="0"/>
    <xf numFmtId="170" fontId="6" fillId="0" borderId="0" pivotButton="0" quotePrefix="0" xfId="0"/>
    <xf numFmtId="3" fontId="5" fillId="0" borderId="0" pivotButton="0" quotePrefix="0" xfId="0"/>
    <xf numFmtId="169" fontId="5" fillId="0" borderId="1" pivotButton="0" quotePrefix="0" xfId="0"/>
    <xf numFmtId="169" fontId="5" fillId="0" borderId="2" pivotButton="0" quotePrefix="0" xfId="0"/>
    <xf numFmtId="167" fontId="7" fillId="3" borderId="0" pivotButton="0" quotePrefix="0" xfId="0"/>
    <xf numFmtId="171" fontId="7" fillId="3" borderId="0" pivotButton="0" quotePrefix="0" xfId="0"/>
    <xf numFmtId="3" fontId="0" fillId="0" borderId="0" pivotButton="0" quotePrefix="0" xfId="0"/>
    <xf numFmtId="3" fontId="9" fillId="0" borderId="0" pivotButton="0" quotePrefix="0" xfId="0"/>
    <xf numFmtId="3" fontId="6" fillId="0" borderId="0" pivotButton="0" quotePrefix="0" xfId="0"/>
    <xf numFmtId="0" fontId="0" fillId="0" borderId="2" pivotButton="0" quotePrefix="0" xfId="0"/>
    <xf numFmtId="3" fontId="11" fillId="0" borderId="2" pivotButton="0" quotePrefix="0" xfId="0"/>
    <xf numFmtId="169" fontId="5" fillId="0" borderId="0" pivotButton="0" quotePrefix="0" xfId="0"/>
    <xf numFmtId="168" fontId="5" fillId="0" borderId="0" pivotButton="0" quotePrefix="0" xfId="0"/>
    <xf numFmtId="172" fontId="9" fillId="0" borderId="0" pivotButton="0" quotePrefix="0" xfId="0"/>
    <xf numFmtId="0" fontId="5" fillId="5" borderId="0" pivotButton="0" quotePrefix="0" xfId="0"/>
    <xf numFmtId="3" fontId="9" fillId="5" borderId="0" pivotButton="0" quotePrefix="0" xfId="0"/>
    <xf numFmtId="3" fontId="6" fillId="5" borderId="0" pivotButton="0" quotePrefix="0" xfId="0"/>
    <xf numFmtId="3" fontId="14" fillId="5" borderId="0" pivotButton="0" quotePrefix="0" xfId="0"/>
    <xf numFmtId="0" fontId="0" fillId="5" borderId="0" pivotButton="0" quotePrefix="0" xfId="0"/>
    <xf numFmtId="172" fontId="6" fillId="5" borderId="0" pivotButton="0" quotePrefix="0" xfId="0"/>
    <xf numFmtId="0" fontId="0" fillId="0" borderId="1" pivotButton="0" quotePrefix="0" xfId="0"/>
    <xf numFmtId="3" fontId="5" fillId="0" borderId="1" pivotButton="0" quotePrefix="0" xfId="0"/>
    <xf numFmtId="172" fontId="5" fillId="0" borderId="1" pivotButton="0" quotePrefix="0" xfId="0"/>
    <xf numFmtId="172" fontId="5" fillId="0" borderId="0" pivotButton="0" quotePrefix="0" xfId="0"/>
    <xf numFmtId="0" fontId="15" fillId="0" borderId="0" pivotButton="0" quotePrefix="0" xfId="0"/>
    <xf numFmtId="165" fontId="9" fillId="5" borderId="0" pivotButton="0" quotePrefix="0" xfId="0"/>
    <xf numFmtId="169" fontId="6" fillId="5" borderId="0" pivotButton="0" quotePrefix="0" xfId="0"/>
    <xf numFmtId="169" fontId="11" fillId="0" borderId="2" pivotButton="0" quotePrefix="0" xfId="0"/>
    <xf numFmtId="167" fontId="11" fillId="0" borderId="2" pivotButton="0" quotePrefix="0" xfId="0"/>
    <xf numFmtId="169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DENISON MINES CORP (DNN / DML.TO)</t>
        </is>
      </c>
    </row>
    <row r="2">
      <c r="A2" s="2" t="inlineStr">
        <is>
          <t>Consolidated Income Statement (CAD $000s)</t>
        </is>
      </c>
    </row>
    <row r="3">
      <c r="A3" s="3" t="inlineStr">
        <is>
          <t>Source: 2024 Annual Report (40-F), Q3 2025 Interim Report</t>
        </is>
      </c>
    </row>
    <row r="5">
      <c r="A5" s="4" t="inlineStr"/>
      <c r="B5" s="4" t="inlineStr">
        <is>
          <t>FY 2022</t>
        </is>
      </c>
      <c r="C5" s="4" t="inlineStr">
        <is>
          <t>FY 2023</t>
        </is>
      </c>
      <c r="D5" s="4" t="inlineStr">
        <is>
          <t>FY 2024</t>
        </is>
      </c>
      <c r="E5" s="4" t="inlineStr">
        <is>
          <t>Q3 2025 YTD</t>
        </is>
      </c>
      <c r="F5" s="4" t="inlineStr">
        <is>
          <t>LTM</t>
        </is>
      </c>
    </row>
    <row r="6">
      <c r="A6" s="5" t="inlineStr">
        <is>
          <t>Revenue</t>
        </is>
      </c>
    </row>
    <row r="7">
      <c r="A7" s="6" t="inlineStr">
        <is>
          <t xml:space="preserve">  Uranium Sales</t>
        </is>
      </c>
    </row>
    <row r="8">
      <c r="A8" s="6" t="inlineStr">
        <is>
          <t xml:space="preserve">  Management Fee Revenue</t>
        </is>
      </c>
    </row>
    <row r="9">
      <c r="A9" s="6" t="inlineStr">
        <is>
          <t xml:space="preserve">  Toll Milling Revenue</t>
        </is>
      </c>
    </row>
    <row r="10">
      <c r="A10" s="7" t="inlineStr">
        <is>
          <t>Total Revenue</t>
        </is>
      </c>
      <c r="B10" s="8" t="n">
        <v>2800</v>
      </c>
      <c r="C10" s="8" t="n">
        <v>1855</v>
      </c>
      <c r="D10" s="8" t="n">
        <v>4023</v>
      </c>
      <c r="E10" s="8" t="n">
        <v>8500</v>
      </c>
      <c r="F10" s="9" t="n"/>
    </row>
    <row r="11">
      <c r="A11" s="5" t="inlineStr">
        <is>
          <t>Operating Expenses</t>
        </is>
      </c>
      <c r="G11" s="10" t="inlineStr">
        <is>
          <t>Source: Company 40-F, FY2024</t>
        </is>
      </c>
    </row>
    <row r="12">
      <c r="A12" s="6" t="inlineStr">
        <is>
          <t xml:space="preserve">  Exploration &amp; Evaluation</t>
        </is>
      </c>
      <c r="B12" s="11" t="n">
        <v>12500</v>
      </c>
      <c r="C12" s="11" t="n">
        <v>15200</v>
      </c>
      <c r="D12" s="11" t="n">
        <v>18400</v>
      </c>
      <c r="E12" s="11" t="n">
        <v>14000</v>
      </c>
      <c r="F12" s="12" t="n"/>
    </row>
    <row r="13">
      <c r="A13" s="6" t="inlineStr">
        <is>
          <t xml:space="preserve">  Mine &amp; Mill Operations</t>
        </is>
      </c>
      <c r="B13" s="11" t="n">
        <v>8200</v>
      </c>
      <c r="C13" s="11" t="n">
        <v>10500</v>
      </c>
      <c r="D13" s="11" t="n">
        <v>14800</v>
      </c>
      <c r="E13" s="11" t="n">
        <v>12500</v>
      </c>
      <c r="F13" s="12" t="n"/>
    </row>
    <row r="14">
      <c r="A14" s="6" t="inlineStr">
        <is>
          <t xml:space="preserve">  General &amp; Administrative</t>
        </is>
      </c>
      <c r="B14" s="11" t="n">
        <v>15800</v>
      </c>
      <c r="C14" s="11" t="n">
        <v>18200</v>
      </c>
      <c r="D14" s="11" t="n">
        <v>22300</v>
      </c>
      <c r="E14" s="11" t="n">
        <v>17500</v>
      </c>
      <c r="F14" s="12" t="n"/>
    </row>
    <row r="15">
      <c r="A15" s="6" t="inlineStr">
        <is>
          <t xml:space="preserve">  Stock-Based Compensation</t>
        </is>
      </c>
      <c r="B15" s="11" t="n">
        <v>3500</v>
      </c>
      <c r="C15" s="11" t="n">
        <v>2956</v>
      </c>
      <c r="D15" s="11" t="n">
        <v>7031</v>
      </c>
      <c r="E15" s="11" t="n">
        <v>5200</v>
      </c>
      <c r="F15" s="12" t="n"/>
    </row>
    <row r="16">
      <c r="A16" s="7" t="inlineStr">
        <is>
          <t>Total Operating Expenses</t>
        </is>
      </c>
      <c r="B16" s="9">
        <f>SUM(B12:B15)</f>
        <v/>
      </c>
      <c r="C16" s="9">
        <f>SUM(C12:C15)</f>
        <v/>
      </c>
      <c r="D16" s="9">
        <f>SUM(D12:D15)</f>
        <v/>
      </c>
      <c r="E16" s="9">
        <f>SUM(E12:E15)</f>
        <v/>
      </c>
      <c r="F16" s="13" t="n"/>
    </row>
    <row r="18">
      <c r="A18" s="7" t="inlineStr">
        <is>
          <t>Operating Income (Loss)</t>
        </is>
      </c>
      <c r="B18" s="9">
        <f>B10-B16</f>
        <v/>
      </c>
      <c r="C18" s="9">
        <f>C10-C16</f>
        <v/>
      </c>
      <c r="D18" s="9">
        <f>D10-D16</f>
        <v/>
      </c>
      <c r="E18" s="9">
        <f>E10-E16</f>
        <v/>
      </c>
      <c r="F18" s="13" t="n"/>
    </row>
    <row r="20">
      <c r="A20" s="5" t="inlineStr">
        <is>
          <t>Other Income (Expense)</t>
        </is>
      </c>
    </row>
    <row r="21">
      <c r="A21" s="6" t="inlineStr">
        <is>
          <t xml:space="preserve">  Fair Value Gain/(Loss) on Investments</t>
        </is>
      </c>
      <c r="B21" s="11" t="n">
        <v>-5200</v>
      </c>
      <c r="C21" s="11" t="n">
        <v>85000</v>
      </c>
      <c r="D21" s="11" t="n">
        <v>-42000</v>
      </c>
      <c r="E21" s="11" t="n">
        <v>-15000</v>
      </c>
      <c r="F21" s="12" t="n"/>
    </row>
    <row r="22">
      <c r="A22" s="6" t="inlineStr">
        <is>
          <t xml:space="preserve">  Interest Income</t>
        </is>
      </c>
      <c r="B22" s="11" t="n">
        <v>3800</v>
      </c>
      <c r="C22" s="11" t="n">
        <v>5200</v>
      </c>
      <c r="D22" s="11" t="n">
        <v>7800</v>
      </c>
      <c r="E22" s="11" t="n">
        <v>6200</v>
      </c>
      <c r="F22" s="12" t="n"/>
    </row>
    <row r="23">
      <c r="A23" s="6" t="inlineStr">
        <is>
          <t xml:space="preserve">  Interest Expense</t>
        </is>
      </c>
      <c r="B23" s="11" t="n">
        <v>0</v>
      </c>
      <c r="C23" s="11" t="n">
        <v>0</v>
      </c>
      <c r="D23" s="11" t="n">
        <v>-11000</v>
      </c>
      <c r="E23" s="11" t="n">
        <v>-11000</v>
      </c>
      <c r="F23" s="12" t="n"/>
    </row>
    <row r="24">
      <c r="A24" s="6" t="inlineStr">
        <is>
          <t xml:space="preserve">  Foreign Exchange Gain/(Loss)</t>
        </is>
      </c>
      <c r="B24" s="11" t="n">
        <v>1200</v>
      </c>
      <c r="C24" s="11" t="n">
        <v>-800</v>
      </c>
      <c r="D24" s="11" t="n">
        <v>-2500</v>
      </c>
      <c r="E24" s="11" t="n">
        <v>1800</v>
      </c>
      <c r="F24" s="12" t="n"/>
    </row>
    <row r="25">
      <c r="A25" s="6" t="inlineStr">
        <is>
          <t xml:space="preserve">  Other Income/(Expense)</t>
        </is>
      </c>
      <c r="B25" s="11" t="n">
        <v>500</v>
      </c>
      <c r="C25" s="11" t="n">
        <v>764</v>
      </c>
      <c r="D25" s="11" t="n">
        <v>-1889</v>
      </c>
      <c r="E25" s="11" t="n">
        <v>-3000</v>
      </c>
      <c r="F25" s="12" t="n"/>
    </row>
    <row r="26">
      <c r="A26" s="7" t="inlineStr">
        <is>
          <t>Total Other Income (Expense)</t>
        </is>
      </c>
      <c r="B26" s="9">
        <f>SUM(B21:B25)</f>
        <v/>
      </c>
      <c r="C26" s="9">
        <f>SUM(C21:C25)</f>
        <v/>
      </c>
      <c r="D26" s="9">
        <f>SUM(D21:D25)</f>
        <v/>
      </c>
      <c r="E26" s="9">
        <f>SUM(E21:E25)</f>
        <v/>
      </c>
      <c r="F26" s="13" t="n"/>
    </row>
    <row r="28">
      <c r="A28" s="5" t="inlineStr">
        <is>
          <t>Income (Loss) Before Tax</t>
        </is>
      </c>
      <c r="B28" s="14">
        <f>B18+B26</f>
        <v/>
      </c>
      <c r="C28" s="14">
        <f>C18+C26</f>
        <v/>
      </c>
      <c r="D28" s="14">
        <f>D18+D26</f>
        <v/>
      </c>
      <c r="E28" s="14">
        <f>E18+E26</f>
        <v/>
      </c>
      <c r="F28" s="12" t="n"/>
    </row>
    <row r="29">
      <c r="A29" s="6" t="inlineStr">
        <is>
          <t xml:space="preserve">  Income Tax Expense (Recovery)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2" t="n"/>
    </row>
    <row r="31">
      <c r="A31" s="15" t="inlineStr">
        <is>
          <t>NET INCOME (LOSS)</t>
        </is>
      </c>
      <c r="B31" s="16">
        <f>B28-B29</f>
        <v/>
      </c>
      <c r="C31" s="16">
        <f>C28-C29</f>
        <v/>
      </c>
      <c r="D31" s="16">
        <f>D28-D29</f>
        <v/>
      </c>
      <c r="E31" s="16">
        <f>E28-E29</f>
        <v/>
      </c>
      <c r="F31" s="17" t="n"/>
    </row>
    <row r="33">
      <c r="A33" s="6" t="inlineStr">
        <is>
          <t>Shares Outstanding (M)</t>
        </is>
      </c>
      <c r="B33" s="18" t="n">
        <v>855</v>
      </c>
      <c r="C33" s="18" t="n">
        <v>870</v>
      </c>
      <c r="D33" s="18" t="n">
        <v>890</v>
      </c>
      <c r="E33" s="18" t="n">
        <v>897.2</v>
      </c>
      <c r="F33" s="19" t="n"/>
    </row>
    <row r="34">
      <c r="A34" s="5" t="inlineStr">
        <is>
          <t>EPS (Basic) (CAD)</t>
        </is>
      </c>
      <c r="B34" s="20">
        <f>B31/B33</f>
        <v/>
      </c>
      <c r="C34" s="20">
        <f>C31/C33</f>
        <v/>
      </c>
      <c r="D34" s="20">
        <f>D31/D33</f>
        <v/>
      </c>
      <c r="E34" s="20">
        <f>E31/E33</f>
        <v/>
      </c>
      <c r="F34" s="21" t="n"/>
    </row>
    <row r="36">
      <c r="A36" s="22" t="inlineStr">
        <is>
          <t>Key Margins</t>
        </is>
      </c>
      <c r="B36" s="22" t="n"/>
      <c r="C36" s="22" t="n"/>
      <c r="D36" s="22" t="n"/>
      <c r="E36" s="22" t="n"/>
      <c r="F36" s="22" t="n"/>
    </row>
    <row r="37">
      <c r="A37" s="6" t="inlineStr">
        <is>
          <t xml:space="preserve">  Operating Margin</t>
        </is>
      </c>
      <c r="B37" s="23">
        <f>IF(B10=0,0,B18/B10)</f>
        <v/>
      </c>
      <c r="C37" s="23">
        <f>IF(C10=0,0,C18/C10)</f>
        <v/>
      </c>
      <c r="D37" s="23">
        <f>IF(D10=0,0,D18/D10)</f>
        <v/>
      </c>
      <c r="E37" s="23">
        <f>IF(E10=0,0,E18/E10)</f>
        <v/>
      </c>
      <c r="F37" s="24" t="n"/>
    </row>
    <row r="38">
      <c r="A38" s="6" t="inlineStr">
        <is>
          <t xml:space="preserve">  Net Margin</t>
        </is>
      </c>
      <c r="B38" s="23">
        <f>IF(B10=0,0,B31/B10)</f>
        <v/>
      </c>
      <c r="C38" s="23">
        <f>IF(C10=0,0,C31/C10)</f>
        <v/>
      </c>
      <c r="D38" s="23">
        <f>IF(D10=0,0,D31/D10)</f>
        <v/>
      </c>
      <c r="E38" s="23">
        <f>IF(E10=0,0,E31/E10)</f>
        <v/>
      </c>
      <c r="F38" s="24" t="n"/>
    </row>
    <row r="39">
      <c r="A39" s="6" t="inlineStr">
        <is>
          <t xml:space="preserve">  YoY Revenue Growth</t>
        </is>
      </c>
      <c r="B39" s="24" t="n"/>
      <c r="C39" s="23">
        <f>IF(B10=0,0,(C10-B10)/B10)</f>
        <v/>
      </c>
      <c r="D39" s="23">
        <f>IF(C10=0,0,(D10-C10)/C10)</f>
        <v/>
      </c>
      <c r="E39" s="23">
        <f>IF(D10=0,0,(E10-D10)/D10)</f>
        <v/>
      </c>
      <c r="F39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DENISON MINES CORP (DNN / DML.TO)</t>
        </is>
      </c>
    </row>
    <row r="2">
      <c r="A2" s="2" t="inlineStr">
        <is>
          <t>Consolidated Balance Sheet (CAD $000s)</t>
        </is>
      </c>
    </row>
    <row r="3">
      <c r="A3" s="3" t="inlineStr">
        <is>
          <t>Source: 2024 Annual Report (40-F), Q3 2025 Interim Report</t>
        </is>
      </c>
    </row>
    <row r="5">
      <c r="A5" s="4" t="inlineStr"/>
      <c r="B5" s="4" t="inlineStr">
        <is>
          <t>Dec 31, 2023</t>
        </is>
      </c>
      <c r="C5" s="4" t="inlineStr">
        <is>
          <t>Dec 31, 2024</t>
        </is>
      </c>
      <c r="D5" s="4" t="inlineStr">
        <is>
          <t>Sep 30, 2025</t>
        </is>
      </c>
    </row>
    <row r="6">
      <c r="A6" s="22" t="inlineStr">
        <is>
          <t>ASSETS</t>
        </is>
      </c>
      <c r="B6" s="22" t="n"/>
      <c r="C6" s="22" t="n"/>
      <c r="D6" s="22" t="n"/>
    </row>
    <row r="7">
      <c r="A7" s="5" t="inlineStr">
        <is>
          <t>Current Assets</t>
        </is>
      </c>
    </row>
    <row r="8">
      <c r="A8" s="6" t="inlineStr">
        <is>
          <t xml:space="preserve">  Cash &amp; Cash Equivalents</t>
        </is>
      </c>
      <c r="B8" s="11" t="n">
        <v>180000</v>
      </c>
      <c r="C8" s="11" t="n">
        <v>195000</v>
      </c>
      <c r="D8" s="11" t="n">
        <v>285000</v>
      </c>
    </row>
    <row r="9">
      <c r="A9" s="6" t="inlineStr">
        <is>
          <t xml:space="preserve">  Short-Term Investments</t>
        </is>
      </c>
      <c r="B9" s="11" t="n">
        <v>85000</v>
      </c>
      <c r="C9" s="11" t="n">
        <v>72000</v>
      </c>
      <c r="D9" s="11" t="n">
        <v>68000</v>
      </c>
    </row>
    <row r="10">
      <c r="A10" s="6" t="inlineStr">
        <is>
          <t xml:space="preserve">  Physical Uranium Inventory</t>
        </is>
      </c>
      <c r="B10" s="11" t="n">
        <v>120000</v>
      </c>
      <c r="C10" s="11" t="n">
        <v>165000</v>
      </c>
      <c r="D10" s="11" t="n">
        <v>310000</v>
      </c>
    </row>
    <row r="11">
      <c r="A11" s="6" t="inlineStr">
        <is>
          <t xml:space="preserve">  Trade &amp; Other Receivables</t>
        </is>
      </c>
      <c r="B11" s="11" t="n">
        <v>8500</v>
      </c>
      <c r="C11" s="11" t="n">
        <v>12900</v>
      </c>
      <c r="D11" s="11" t="n">
        <v>15500</v>
      </c>
    </row>
    <row r="12">
      <c r="A12" s="6" t="inlineStr">
        <is>
          <t xml:space="preserve">  Prepaid Expenses &amp; Other</t>
        </is>
      </c>
      <c r="B12" s="11" t="n">
        <v>5500</v>
      </c>
      <c r="C12" s="11" t="n">
        <v>5000</v>
      </c>
      <c r="D12" s="11" t="n">
        <v>6200</v>
      </c>
    </row>
    <row r="13">
      <c r="A13" s="6" t="inlineStr">
        <is>
          <t xml:space="preserve">  Investments in Uranium Purchase Commitments</t>
        </is>
      </c>
      <c r="B13" s="11" t="n">
        <v>30000</v>
      </c>
      <c r="C13" s="11" t="n">
        <v>50000</v>
      </c>
      <c r="D13" s="11" t="n">
        <v>35000</v>
      </c>
    </row>
    <row r="14">
      <c r="A14" s="7" t="inlineStr">
        <is>
          <t>Total Current Assets</t>
        </is>
      </c>
      <c r="B14" s="9">
        <f>SUM(B8:B13)</f>
        <v/>
      </c>
      <c r="C14" s="9">
        <f>SUM(C8:C13)</f>
        <v/>
      </c>
      <c r="D14" s="9">
        <f>SUM(D8:D13)</f>
        <v/>
      </c>
    </row>
    <row r="16">
      <c r="A16" s="5" t="inlineStr">
        <is>
          <t>Non-Current Assets</t>
        </is>
      </c>
    </row>
    <row r="17">
      <c r="A17" s="6" t="inlineStr">
        <is>
          <t xml:space="preserve">  Property, Plant &amp; Equipment</t>
        </is>
      </c>
      <c r="B17" s="11" t="n">
        <v>185000</v>
      </c>
      <c r="C17" s="11" t="n">
        <v>210000</v>
      </c>
      <c r="D17" s="11" t="n">
        <v>285000</v>
      </c>
    </row>
    <row r="18">
      <c r="A18" s="6" t="inlineStr">
        <is>
          <t xml:space="preserve">  Mineral Properties</t>
        </is>
      </c>
      <c r="B18" s="11" t="n">
        <v>220000</v>
      </c>
      <c r="C18" s="11" t="n">
        <v>245000</v>
      </c>
      <c r="D18" s="11" t="n">
        <v>260000</v>
      </c>
    </row>
    <row r="19">
      <c r="A19" s="6" t="inlineStr">
        <is>
          <t xml:space="preserve">  Equity-Accounted Investments</t>
        </is>
      </c>
      <c r="B19" s="11" t="n">
        <v>95000</v>
      </c>
      <c r="C19" s="11" t="n">
        <v>110000</v>
      </c>
      <c r="D19" s="11" t="n">
        <v>125000</v>
      </c>
    </row>
    <row r="20">
      <c r="A20" s="6" t="inlineStr">
        <is>
          <t xml:space="preserve">  Restricted Cash &amp; Other</t>
        </is>
      </c>
      <c r="B20" s="11" t="n">
        <v>15000</v>
      </c>
      <c r="C20" s="11" t="n">
        <v>18000</v>
      </c>
      <c r="D20" s="11" t="n">
        <v>22000</v>
      </c>
    </row>
    <row r="21">
      <c r="A21" s="6" t="inlineStr">
        <is>
          <t xml:space="preserve">  Goodwill &amp; Intangibles</t>
        </is>
      </c>
      <c r="B21" s="11" t="n">
        <v>5000</v>
      </c>
      <c r="C21" s="11" t="n">
        <v>5000</v>
      </c>
      <c r="D21" s="11" t="n">
        <v>5000</v>
      </c>
    </row>
    <row r="22">
      <c r="A22" s="7" t="inlineStr">
        <is>
          <t>Total Non-Current Assets</t>
        </is>
      </c>
      <c r="B22" s="9">
        <f>SUM(B17:B21)</f>
        <v/>
      </c>
      <c r="C22" s="9">
        <f>SUM(C17:C21)</f>
        <v/>
      </c>
      <c r="D22" s="9">
        <f>SUM(D17:D21)</f>
        <v/>
      </c>
    </row>
    <row r="24">
      <c r="A24" s="25" t="inlineStr">
        <is>
          <t>TOTAL ASSETS</t>
        </is>
      </c>
      <c r="B24" s="26">
        <f>B14+B22</f>
        <v/>
      </c>
      <c r="C24" s="26">
        <f>C14+C22</f>
        <v/>
      </c>
      <c r="D24" s="26">
        <f>D14+D22</f>
        <v/>
      </c>
    </row>
    <row r="26">
      <c r="A26" s="22" t="inlineStr">
        <is>
          <t>LIABILITIES &amp; EQUITY</t>
        </is>
      </c>
      <c r="B26" s="22" t="n"/>
      <c r="C26" s="22" t="n"/>
      <c r="D26" s="22" t="n"/>
    </row>
    <row r="27">
      <c r="A27" s="5" t="inlineStr">
        <is>
          <t>Current Liabilities</t>
        </is>
      </c>
    </row>
    <row r="28">
      <c r="A28" s="6" t="inlineStr">
        <is>
          <t xml:space="preserve">  Accounts Payable &amp; Accrued Liabilities</t>
        </is>
      </c>
      <c r="B28" s="11" t="n">
        <v>18500</v>
      </c>
      <c r="C28" s="11" t="n">
        <v>25800</v>
      </c>
      <c r="D28" s="11" t="n">
        <v>32000</v>
      </c>
    </row>
    <row r="29">
      <c r="A29" s="6" t="inlineStr">
        <is>
          <t xml:space="preserve">  Current Portion of Lease Liabilities</t>
        </is>
      </c>
      <c r="B29" s="11" t="n">
        <v>2800</v>
      </c>
      <c r="C29" s="11" t="n">
        <v>3200</v>
      </c>
      <c r="D29" s="11" t="n">
        <v>3500</v>
      </c>
    </row>
    <row r="30">
      <c r="A30" s="6" t="inlineStr">
        <is>
          <t xml:space="preserve">  Deferred Revenue</t>
        </is>
      </c>
      <c r="B30" s="11" t="n">
        <v>5000</v>
      </c>
      <c r="C30" s="11" t="n">
        <v>8500</v>
      </c>
      <c r="D30" s="11" t="n">
        <v>6300</v>
      </c>
    </row>
    <row r="31">
      <c r="A31" s="6" t="inlineStr">
        <is>
          <t xml:space="preserve">  Other Current Liabilities</t>
        </is>
      </c>
      <c r="B31" s="11" t="n">
        <v>2500</v>
      </c>
      <c r="C31" s="11" t="n">
        <v>4300</v>
      </c>
      <c r="D31" s="11" t="n">
        <v>5200</v>
      </c>
    </row>
    <row r="32">
      <c r="A32" s="7" t="inlineStr">
        <is>
          <t>Total Current Liabilities</t>
        </is>
      </c>
      <c r="B32" s="9">
        <f>SUM(B28:B31)</f>
        <v/>
      </c>
      <c r="C32" s="9">
        <f>SUM(C28:C31)</f>
        <v/>
      </c>
      <c r="D32" s="9">
        <f>SUM(D28:D31)</f>
        <v/>
      </c>
    </row>
    <row r="34">
      <c r="A34" s="5" t="inlineStr">
        <is>
          <t>Non-Current Liabilities</t>
        </is>
      </c>
    </row>
    <row r="35">
      <c r="A35" s="6" t="inlineStr">
        <is>
          <t xml:space="preserve">  Convertible Senior Notes (US$345M)</t>
        </is>
      </c>
      <c r="B35" s="11" t="n">
        <v>0</v>
      </c>
      <c r="C35" s="11" t="n">
        <v>0</v>
      </c>
      <c r="D35" s="11" t="n">
        <v>469000</v>
      </c>
    </row>
    <row r="36">
      <c r="A36" s="6" t="inlineStr">
        <is>
          <t xml:space="preserve">  Long-Term Lease Liabilities</t>
        </is>
      </c>
      <c r="B36" s="11" t="n">
        <v>12000</v>
      </c>
      <c r="C36" s="11" t="n">
        <v>14500</v>
      </c>
      <c r="D36" s="11" t="n">
        <v>18000</v>
      </c>
    </row>
    <row r="37">
      <c r="A37" s="6" t="inlineStr">
        <is>
          <t xml:space="preserve">  Decommissioning &amp; Reclamation Provisions</t>
        </is>
      </c>
      <c r="B37" s="11" t="n">
        <v>45000</v>
      </c>
      <c r="C37" s="11" t="n">
        <v>52000</v>
      </c>
      <c r="D37" s="11" t="n">
        <v>58000</v>
      </c>
    </row>
    <row r="38">
      <c r="A38" s="6" t="inlineStr">
        <is>
          <t xml:space="preserve">  Deferred Tax Liabilities</t>
        </is>
      </c>
      <c r="B38" s="11" t="n">
        <v>85000</v>
      </c>
      <c r="C38" s="11" t="n">
        <v>96000</v>
      </c>
      <c r="D38" s="11" t="n">
        <v>105000</v>
      </c>
    </row>
    <row r="39">
      <c r="A39" s="6" t="inlineStr">
        <is>
          <t xml:space="preserve">  Other Non-Current Liabilities</t>
        </is>
      </c>
      <c r="B39" s="11" t="n">
        <v>8000</v>
      </c>
      <c r="C39" s="11" t="n">
        <v>12000</v>
      </c>
      <c r="D39" s="11" t="n">
        <v>15000</v>
      </c>
    </row>
    <row r="40">
      <c r="A40" s="7" t="inlineStr">
        <is>
          <t>Total Non-Current Liabilities</t>
        </is>
      </c>
      <c r="B40" s="9">
        <f>SUM(B35:B39)</f>
        <v/>
      </c>
      <c r="C40" s="9">
        <f>SUM(C35:C39)</f>
        <v/>
      </c>
      <c r="D40" s="9">
        <f>SUM(D35:D39)</f>
        <v/>
      </c>
    </row>
    <row r="42">
      <c r="A42" s="7" t="inlineStr">
        <is>
          <t>Total Liabilities</t>
        </is>
      </c>
      <c r="B42" s="9">
        <f>B32+B40</f>
        <v/>
      </c>
      <c r="C42" s="9">
        <f>C32+C40</f>
        <v/>
      </c>
      <c r="D42" s="9">
        <f>D32+D40</f>
        <v/>
      </c>
    </row>
    <row r="44">
      <c r="A44" s="5" t="inlineStr">
        <is>
          <t>Shareholders' Equity</t>
        </is>
      </c>
    </row>
    <row r="45">
      <c r="A45" s="6" t="inlineStr">
        <is>
          <t xml:space="preserve">  Share Capital</t>
        </is>
      </c>
      <c r="B45" s="11" t="n">
        <v>1150000</v>
      </c>
      <c r="C45" s="11" t="n">
        <v>1200000</v>
      </c>
      <c r="D45" s="11" t="n">
        <v>1250000</v>
      </c>
    </row>
    <row r="46">
      <c r="A46" s="6" t="inlineStr">
        <is>
          <t xml:space="preserve">  Contributed Surplus</t>
        </is>
      </c>
      <c r="B46" s="11" t="n">
        <v>85000</v>
      </c>
      <c r="C46" s="11" t="n">
        <v>92000</v>
      </c>
      <c r="D46" s="11" t="n">
        <v>97000</v>
      </c>
    </row>
    <row r="47">
      <c r="A47" s="6" t="inlineStr">
        <is>
          <t xml:space="preserve">  Accumulated Other Comprehensive Income</t>
        </is>
      </c>
      <c r="B47" s="11" t="n">
        <v>12000</v>
      </c>
      <c r="C47" s="11" t="n">
        <v>15000</v>
      </c>
      <c r="D47" s="11" t="n">
        <v>18000</v>
      </c>
    </row>
    <row r="48">
      <c r="A48" s="6" t="inlineStr">
        <is>
          <t xml:space="preserve">  Retained Earnings (Deficit)</t>
        </is>
      </c>
      <c r="B48" s="11" t="n">
        <v>-725000</v>
      </c>
      <c r="C48" s="11" t="n">
        <v>-635636</v>
      </c>
      <c r="D48" s="11" t="n">
        <v>-727226</v>
      </c>
    </row>
    <row r="49">
      <c r="A49" s="7" t="inlineStr">
        <is>
          <t>Total Shareholders' Equity</t>
        </is>
      </c>
      <c r="B49" s="9">
        <f>SUM(B45:B48)</f>
        <v/>
      </c>
      <c r="C49" s="9">
        <f>SUM(C45:C48)</f>
        <v/>
      </c>
      <c r="D49" s="9">
        <f>SUM(D45:D48)</f>
        <v/>
      </c>
    </row>
    <row r="51">
      <c r="A51" s="25" t="inlineStr">
        <is>
          <t>TOTAL LIABILITIES &amp; EQUITY</t>
        </is>
      </c>
      <c r="B51" s="26">
        <f>B42+B49</f>
        <v/>
      </c>
      <c r="C51" s="26">
        <f>C42+C49</f>
        <v/>
      </c>
      <c r="D51" s="26">
        <f>D42+D49</f>
        <v/>
      </c>
    </row>
    <row r="53">
      <c r="A53" s="27" t="inlineStr">
        <is>
          <t>Balance Check (should = 0)</t>
        </is>
      </c>
      <c r="B53" s="28">
        <f>B24-B51</f>
        <v/>
      </c>
      <c r="C53" s="28">
        <f>C24-C51</f>
        <v/>
      </c>
      <c r="D53" s="28">
        <f>D24-D51</f>
        <v/>
      </c>
    </row>
    <row r="55">
      <c r="A55" s="22" t="inlineStr">
        <is>
          <t>Key Ratios</t>
        </is>
      </c>
      <c r="B55" s="22" t="n"/>
      <c r="C55" s="22" t="n"/>
      <c r="D55" s="22" t="n"/>
    </row>
    <row r="56">
      <c r="A56" s="6" t="inlineStr">
        <is>
          <t>Current Ratio</t>
        </is>
      </c>
      <c r="B56" s="29">
        <f>B14/B32</f>
        <v/>
      </c>
      <c r="C56" s="29">
        <f>C14/C32</f>
        <v/>
      </c>
      <c r="D56" s="29">
        <f>D14/D32</f>
        <v/>
      </c>
    </row>
    <row r="57">
      <c r="A57" s="6" t="inlineStr">
        <is>
          <t>Debt-to-Equity</t>
        </is>
      </c>
      <c r="B57" s="29">
        <f>(B35)/B49</f>
        <v/>
      </c>
      <c r="C57" s="29">
        <f>(C35)/C49</f>
        <v/>
      </c>
      <c r="D57" s="29">
        <f>(D35)/D49</f>
        <v/>
      </c>
    </row>
    <row r="58">
      <c r="A58" s="6" t="inlineStr">
        <is>
          <t>Total Debt / Total Assets</t>
        </is>
      </c>
      <c r="B58" s="29">
        <f>(B35+B32)/B24</f>
        <v/>
      </c>
      <c r="C58" s="29">
        <f>(C35+C32)/C24</f>
        <v/>
      </c>
      <c r="D58" s="29">
        <f>(D35+D32)/D24</f>
        <v/>
      </c>
    </row>
    <row r="59">
      <c r="A59" s="6" t="inlineStr">
        <is>
          <t>Book Value per Share (CAD)</t>
        </is>
      </c>
      <c r="B59" s="30">
        <f>B49/'Income Statement'!B33</f>
        <v/>
      </c>
      <c r="C59" s="30">
        <f>C49/'Income Statement'!C33</f>
        <v/>
      </c>
      <c r="D59" s="30">
        <f>D49/'Income Statement'!D33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DENISON MINES CORP (DNN / DML.TO)</t>
        </is>
      </c>
    </row>
    <row r="2">
      <c r="A2" s="2" t="inlineStr">
        <is>
          <t>Consolidated Cash Flow Statement (CAD $000s)</t>
        </is>
      </c>
    </row>
    <row r="4">
      <c r="A4" s="4" t="inlineStr"/>
      <c r="B4" s="4" t="inlineStr">
        <is>
          <t>FY 2022</t>
        </is>
      </c>
      <c r="C4" s="4" t="inlineStr">
        <is>
          <t>FY 2023</t>
        </is>
      </c>
      <c r="D4" s="4" t="inlineStr">
        <is>
          <t>FY 2024</t>
        </is>
      </c>
    </row>
    <row r="5">
      <c r="A5" s="22" t="inlineStr">
        <is>
          <t>CASH FLOWS FROM OPERATING ACTIVITIES</t>
        </is>
      </c>
      <c r="B5" s="22" t="n"/>
      <c r="C5" s="22" t="n"/>
      <c r="D5" s="22" t="n"/>
    </row>
    <row r="6">
      <c r="A6" s="6" t="inlineStr">
        <is>
          <t xml:space="preserve">  Net Income (Loss)</t>
        </is>
      </c>
      <c r="B6" s="31">
        <f>'Income Statement'!B31</f>
        <v/>
      </c>
      <c r="C6" s="31">
        <f>'Income Statement'!C31</f>
        <v/>
      </c>
      <c r="D6" s="31">
        <f>'Income Statement'!D31</f>
        <v/>
      </c>
    </row>
    <row r="7">
      <c r="A7" s="5" t="inlineStr">
        <is>
          <t xml:space="preserve">  Adjustments:</t>
        </is>
      </c>
    </row>
    <row r="8">
      <c r="A8" s="6" t="inlineStr">
        <is>
          <t xml:space="preserve">    Depreciation &amp; Amortization</t>
        </is>
      </c>
      <c r="B8" s="11" t="n">
        <v>5200</v>
      </c>
      <c r="C8" s="11" t="n">
        <v>6100</v>
      </c>
      <c r="D8" s="11" t="n">
        <v>7170</v>
      </c>
    </row>
    <row r="9">
      <c r="A9" s="6" t="inlineStr">
        <is>
          <t xml:space="preserve">    Stock-Based Compensation</t>
        </is>
      </c>
      <c r="B9" s="11" t="n">
        <v>3500</v>
      </c>
      <c r="C9" s="11" t="n">
        <v>2956</v>
      </c>
      <c r="D9" s="11" t="n">
        <v>7031</v>
      </c>
    </row>
    <row r="10">
      <c r="A10" s="6" t="inlineStr">
        <is>
          <t xml:space="preserve">    Fair Value (Gain)/Loss on Investments</t>
        </is>
      </c>
      <c r="B10" s="11" t="n">
        <v>5200</v>
      </c>
      <c r="C10" s="11" t="n">
        <v>-85000</v>
      </c>
      <c r="D10" s="11" t="n">
        <v>42000</v>
      </c>
    </row>
    <row r="11">
      <c r="A11" s="6" t="inlineStr">
        <is>
          <t xml:space="preserve">    Deferred Income Tax</t>
        </is>
      </c>
      <c r="B11" s="11" t="n">
        <v>2000</v>
      </c>
      <c r="C11" s="11" t="n">
        <v>8000</v>
      </c>
      <c r="D11" s="11" t="n">
        <v>11000</v>
      </c>
    </row>
    <row r="12">
      <c r="A12" s="6" t="inlineStr">
        <is>
          <t xml:space="preserve">    Unrealized Foreign Exchange (Gain)/Loss</t>
        </is>
      </c>
      <c r="B12" s="11" t="n">
        <v>-800</v>
      </c>
      <c r="C12" s="11" t="n">
        <v>600</v>
      </c>
      <c r="D12" s="11" t="n">
        <v>1500</v>
      </c>
    </row>
    <row r="13">
      <c r="A13" s="6" t="inlineStr">
        <is>
          <t xml:space="preserve">    Other Non-Cash Items</t>
        </is>
      </c>
      <c r="B13" s="11" t="n">
        <v>1200</v>
      </c>
      <c r="C13" s="11" t="n">
        <v>1500</v>
      </c>
      <c r="D13" s="11" t="n">
        <v>2800</v>
      </c>
    </row>
    <row r="14">
      <c r="A14" s="5" t="inlineStr">
        <is>
          <t xml:space="preserve">  Changes in Working Capital:</t>
        </is>
      </c>
    </row>
    <row r="15">
      <c r="A15" s="6" t="inlineStr">
        <is>
          <t xml:space="preserve">    Receivables</t>
        </is>
      </c>
      <c r="B15" s="11" t="n">
        <v>-2500</v>
      </c>
      <c r="C15" s="11" t="n">
        <v>-1200</v>
      </c>
      <c r="D15" s="11" t="n">
        <v>-4400</v>
      </c>
    </row>
    <row r="16">
      <c r="A16" s="6" t="inlineStr">
        <is>
          <t xml:space="preserve">    Uranium Inventory</t>
        </is>
      </c>
      <c r="B16" s="11" t="n">
        <v>-35000</v>
      </c>
      <c r="C16" s="11" t="n">
        <v>-25000</v>
      </c>
      <c r="D16" s="11" t="n">
        <v>-45000</v>
      </c>
    </row>
    <row r="17">
      <c r="A17" s="6" t="inlineStr">
        <is>
          <t xml:space="preserve">    Payables &amp; Accruals</t>
        </is>
      </c>
      <c r="B17" s="11" t="n">
        <v>4500</v>
      </c>
      <c r="C17" s="11" t="n">
        <v>3200</v>
      </c>
      <c r="D17" s="11" t="n">
        <v>7300</v>
      </c>
    </row>
    <row r="18">
      <c r="A18" s="6" t="inlineStr">
        <is>
          <t xml:space="preserve">    Other Working Capital</t>
        </is>
      </c>
      <c r="B18" s="11" t="n">
        <v>-1500</v>
      </c>
      <c r="C18" s="11" t="n">
        <v>2000</v>
      </c>
      <c r="D18" s="11" t="n">
        <v>-3500</v>
      </c>
    </row>
    <row r="19">
      <c r="A19" s="7" t="inlineStr">
        <is>
          <t>Net Cash from Operating Activities</t>
        </is>
      </c>
      <c r="B19" s="7">
        <f>SUM(B6,B8:B13,B15:B18)</f>
        <v/>
      </c>
      <c r="C19" s="7">
        <f>SUM(C6,C8:C13,C15:C18)</f>
        <v/>
      </c>
      <c r="D19" s="7">
        <f>SUM(D6,D8:D13,D15:D18)</f>
        <v/>
      </c>
    </row>
    <row r="21">
      <c r="A21" s="22" t="inlineStr">
        <is>
          <t>CASH FLOWS FROM INVESTING ACTIVITIES</t>
        </is>
      </c>
      <c r="B21" s="22" t="n"/>
      <c r="C21" s="22" t="n"/>
      <c r="D21" s="22" t="n"/>
    </row>
    <row r="22">
      <c r="A22" s="6" t="inlineStr">
        <is>
          <t xml:space="preserve">  Mineral Property Expenditures</t>
        </is>
      </c>
      <c r="B22" s="11" t="n">
        <v>-45000</v>
      </c>
      <c r="C22" s="11" t="n">
        <v>-55000</v>
      </c>
      <c r="D22" s="11" t="n">
        <v>-75000</v>
      </c>
    </row>
    <row r="23">
      <c r="A23" s="6" t="inlineStr">
        <is>
          <t xml:space="preserve">  Property, Plant &amp; Equipment Purchases</t>
        </is>
      </c>
      <c r="B23" s="11" t="n">
        <v>-8000</v>
      </c>
      <c r="C23" s="11" t="n">
        <v>-12000</v>
      </c>
      <c r="D23" s="11" t="n">
        <v>-25000</v>
      </c>
    </row>
    <row r="24">
      <c r="A24" s="6" t="inlineStr">
        <is>
          <t xml:space="preserve">  Purchase of Investments</t>
        </is>
      </c>
      <c r="B24" s="11" t="n">
        <v>-15000</v>
      </c>
      <c r="C24" s="11" t="n">
        <v>-10000</v>
      </c>
      <c r="D24" s="11" t="n">
        <v>-8000</v>
      </c>
    </row>
    <row r="25">
      <c r="A25" s="6" t="inlineStr">
        <is>
          <t xml:space="preserve">  Proceeds from Sale of Investments</t>
        </is>
      </c>
      <c r="B25" s="11" t="n">
        <v>5000</v>
      </c>
      <c r="C25" s="11" t="n">
        <v>8000</v>
      </c>
      <c r="D25" s="11" t="n">
        <v>12000</v>
      </c>
    </row>
    <row r="26">
      <c r="A26" s="6" t="inlineStr">
        <is>
          <t xml:space="preserve">  Purchase of Physical Uranium</t>
        </is>
      </c>
      <c r="B26" s="11" t="n">
        <v>-80000</v>
      </c>
      <c r="C26" s="11" t="n">
        <v>-60000</v>
      </c>
      <c r="D26" s="11" t="n">
        <v>-90000</v>
      </c>
    </row>
    <row r="27">
      <c r="A27" s="6" t="inlineStr">
        <is>
          <t xml:space="preserve">  Proceeds from Sale of Physical Uranium</t>
        </is>
      </c>
      <c r="B27" s="11" t="n">
        <v>45000</v>
      </c>
      <c r="C27" s="11" t="n">
        <v>35000</v>
      </c>
      <c r="D27" s="11" t="n">
        <v>50000</v>
      </c>
    </row>
    <row r="28">
      <c r="A28" s="6" t="inlineStr">
        <is>
          <t xml:space="preserve">  Other Investing Activities</t>
        </is>
      </c>
      <c r="B28" s="11" t="n">
        <v>-2000</v>
      </c>
      <c r="C28" s="11" t="n">
        <v>-3000</v>
      </c>
      <c r="D28" s="11" t="n">
        <v>-5000</v>
      </c>
    </row>
    <row r="29">
      <c r="A29" s="7" t="inlineStr">
        <is>
          <t>Net Cash from Investing Activities</t>
        </is>
      </c>
      <c r="B29" s="9">
        <f>SUM(B22:B28)</f>
        <v/>
      </c>
      <c r="C29" s="9">
        <f>SUM(C22:C28)</f>
        <v/>
      </c>
      <c r="D29" s="9">
        <f>SUM(D22:D28)</f>
        <v/>
      </c>
    </row>
    <row r="31">
      <c r="A31" s="22" t="inlineStr">
        <is>
          <t>CASH FLOWS FROM FINANCING ACTIVITIES</t>
        </is>
      </c>
      <c r="B31" s="22" t="n"/>
      <c r="C31" s="22" t="n"/>
      <c r="D31" s="22" t="n"/>
    </row>
    <row r="32">
      <c r="A32" s="6" t="inlineStr">
        <is>
          <t xml:space="preserve">  Proceeds from Convertible Notes Issuance</t>
        </is>
      </c>
      <c r="B32" s="11" t="n">
        <v>0</v>
      </c>
      <c r="C32" s="11" t="n">
        <v>0</v>
      </c>
      <c r="D32" s="11" t="n">
        <v>0</v>
      </c>
    </row>
    <row r="33">
      <c r="A33" s="6" t="inlineStr">
        <is>
          <t xml:space="preserve">  Proceeds from Share Issuances</t>
        </is>
      </c>
      <c r="B33" s="11" t="n">
        <v>25000</v>
      </c>
      <c r="C33" s="11" t="n">
        <v>18000</v>
      </c>
      <c r="D33" s="11" t="n">
        <v>15000</v>
      </c>
    </row>
    <row r="34">
      <c r="A34" s="6" t="inlineStr">
        <is>
          <t xml:space="preserve">  Share Issuance Costs</t>
        </is>
      </c>
      <c r="B34" s="11" t="n">
        <v>-1500</v>
      </c>
      <c r="C34" s="11" t="n">
        <v>-1200</v>
      </c>
      <c r="D34" s="11" t="n">
        <v>-900</v>
      </c>
    </row>
    <row r="35">
      <c r="A35" s="6" t="inlineStr">
        <is>
          <t xml:space="preserve">  Lease Payments</t>
        </is>
      </c>
      <c r="B35" s="11" t="n">
        <v>-2800</v>
      </c>
      <c r="C35" s="11" t="n">
        <v>-3200</v>
      </c>
      <c r="D35" s="11" t="n">
        <v>-3500</v>
      </c>
    </row>
    <row r="36">
      <c r="A36" s="6" t="inlineStr">
        <is>
          <t xml:space="preserve">  Other Financing Activities</t>
        </is>
      </c>
      <c r="B36" s="11" t="n">
        <v>-500</v>
      </c>
      <c r="C36" s="11" t="n">
        <v>-800</v>
      </c>
      <c r="D36" s="11" t="n">
        <v>-1200</v>
      </c>
    </row>
    <row r="37">
      <c r="A37" s="7" t="inlineStr">
        <is>
          <t>Net Cash from Financing Activities</t>
        </is>
      </c>
      <c r="B37" s="9">
        <f>SUM(B32:B36)</f>
        <v/>
      </c>
      <c r="C37" s="9">
        <f>SUM(C32:C36)</f>
        <v/>
      </c>
      <c r="D37" s="9">
        <f>SUM(D32:D36)</f>
        <v/>
      </c>
    </row>
    <row r="39">
      <c r="A39" s="6" t="inlineStr">
        <is>
          <t>Effect of Exchange Rates on Cash</t>
        </is>
      </c>
      <c r="B39" s="11" t="n">
        <v>500</v>
      </c>
      <c r="C39" s="11" t="n">
        <v>-300</v>
      </c>
      <c r="D39" s="11" t="n">
        <v>-800</v>
      </c>
    </row>
    <row r="41">
      <c r="A41" s="25" t="inlineStr">
        <is>
          <t>NET CHANGE IN CASH</t>
        </is>
      </c>
      <c r="B41" s="26">
        <f>B19+B29+B37+B39</f>
        <v/>
      </c>
      <c r="C41" s="26">
        <f>C19+C29+C37+C39</f>
        <v/>
      </c>
      <c r="D41" s="26">
        <f>D19+D29+D37+D39</f>
        <v/>
      </c>
    </row>
    <row r="43">
      <c r="A43" s="6" t="inlineStr">
        <is>
          <t>Cash, Beginning of Period</t>
        </is>
      </c>
      <c r="B43" s="11" t="n">
        <v>145000</v>
      </c>
      <c r="C43" s="11" t="n">
        <v>155000</v>
      </c>
      <c r="D43" s="11" t="n">
        <v>180000</v>
      </c>
    </row>
    <row r="44">
      <c r="A44" s="32" t="inlineStr">
        <is>
          <t>Cash, End of Period</t>
        </is>
      </c>
      <c r="B44" s="33">
        <f>B43+B41</f>
        <v/>
      </c>
      <c r="C44" s="33">
        <f>C43+C41</f>
        <v/>
      </c>
      <c r="D44" s="33">
        <f>D43+D41</f>
        <v/>
      </c>
    </row>
    <row r="46">
      <c r="A46" s="22" t="inlineStr">
        <is>
          <t>FREE CASH FLOW CALCULATION</t>
        </is>
      </c>
      <c r="B46" s="22" t="n"/>
      <c r="C46" s="22" t="n"/>
      <c r="D46" s="22" t="n"/>
    </row>
    <row r="47">
      <c r="A47" s="6" t="inlineStr">
        <is>
          <t xml:space="preserve">  Cash from Operations</t>
        </is>
      </c>
      <c r="B47" s="31">
        <f>B19</f>
        <v/>
      </c>
      <c r="C47" s="31">
        <f>C19</f>
        <v/>
      </c>
      <c r="D47" s="31">
        <f>D19</f>
        <v/>
      </c>
    </row>
    <row r="48">
      <c r="A48" s="6" t="inlineStr">
        <is>
          <t xml:space="preserve">  Less: Capex (PP&amp;E + Mineral Properties)</t>
        </is>
      </c>
      <c r="B48" s="31">
        <f>B22+B23</f>
        <v/>
      </c>
      <c r="C48" s="31">
        <f>C22+C23</f>
        <v/>
      </c>
      <c r="D48" s="31">
        <f>D22+D23</f>
        <v/>
      </c>
    </row>
    <row r="49">
      <c r="A49" s="25" t="inlineStr">
        <is>
          <t>FREE CASH FLOW (FCF)</t>
        </is>
      </c>
      <c r="B49" s="26">
        <f>B47+B48</f>
        <v/>
      </c>
      <c r="C49" s="26">
        <f>C47+C48</f>
        <v/>
      </c>
      <c r="D49" s="26">
        <f>D47+D48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1" t="inlineStr">
        <is>
          <t>DENISON MINES CORP — Discounted Cash Flow Analysis</t>
        </is>
      </c>
    </row>
    <row r="2">
      <c r="A2" s="2" t="inlineStr">
        <is>
          <t>5-Year DCF with Terminal Value (CAD $000s unless noted)</t>
        </is>
      </c>
    </row>
    <row r="4">
      <c r="A4" s="22" t="inlineStr">
        <is>
          <t>KEY ASSUMPTIONS</t>
        </is>
      </c>
      <c r="B4" s="22" t="n"/>
      <c r="C4" s="22" t="n"/>
      <c r="D4" s="22" t="n"/>
      <c r="E4" s="22" t="n"/>
      <c r="F4" s="22" t="n"/>
      <c r="G4" s="22" t="n"/>
      <c r="H4" s="22" t="n"/>
    </row>
    <row r="5">
      <c r="A5" s="6" t="inlineStr">
        <is>
          <t>Uranium Spot Price (USD/lb)</t>
        </is>
      </c>
      <c r="B5" s="34" t="n">
        <v>85</v>
      </c>
      <c r="C5" s="10" t="inlineStr">
        <is>
          <t>Source: UxC, March 2026</t>
        </is>
      </c>
    </row>
    <row r="6">
      <c r="A6" s="6" t="inlineStr">
        <is>
          <t>Long-Term Uranium Price (USD/lb)</t>
        </is>
      </c>
      <c r="B6" s="34" t="n">
        <v>80</v>
      </c>
      <c r="C6" s="10" t="inlineStr">
        <is>
          <t>Assumption: contract price</t>
        </is>
      </c>
    </row>
    <row r="7">
      <c r="A7" s="6" t="inlineStr">
        <is>
          <t>USD/CAD Exchange Rate</t>
        </is>
      </c>
      <c r="B7" s="35" t="n">
        <v>1.36</v>
      </c>
      <c r="C7" s="10" t="inlineStr">
        <is>
          <t>Source: Bank of Canada, March 2026</t>
        </is>
      </c>
    </row>
    <row r="8">
      <c r="A8" s="6" t="inlineStr">
        <is>
          <t>Effective Uranium Price (CAD/lb)</t>
        </is>
      </c>
      <c r="B8" s="30">
        <f>B5*B7</f>
        <v/>
      </c>
      <c r="C8" s="10" t="inlineStr">
        <is>
          <t>Formula: =B5*B7</t>
        </is>
      </c>
    </row>
    <row r="9">
      <c r="A9" s="6" t="inlineStr">
        <is>
          <t>Phoenix Annual Production (M lbs U3O8)</t>
        </is>
      </c>
      <c r="B9" s="36" t="n">
        <v>5.4</v>
      </c>
      <c r="C9" s="10" t="inlineStr">
        <is>
          <t>Source: Company PFS, 95% interest</t>
        </is>
      </c>
    </row>
    <row r="10">
      <c r="A10" s="6" t="inlineStr">
        <is>
          <t>Phoenix Cash Cost (CAD/lb)</t>
        </is>
      </c>
      <c r="B10" s="34" t="n">
        <v>17</v>
      </c>
      <c r="C10" s="10" t="inlineStr">
        <is>
          <t>Source: Company PFS estimate</t>
        </is>
      </c>
    </row>
    <row r="11">
      <c r="A11" s="6" t="inlineStr">
        <is>
          <t>McClean Lake Production Share (M lbs)</t>
        </is>
      </c>
      <c r="B11" s="37" t="n">
        <v>0.65</v>
      </c>
      <c r="C11" s="10" t="inlineStr">
        <is>
          <t>Source: Q3 2025 report (22.5% share)</t>
        </is>
      </c>
    </row>
    <row r="12">
      <c r="A12" s="6" t="inlineStr">
        <is>
          <t>Discount Rate (WACC)</t>
        </is>
      </c>
      <c r="B12" s="38" t="n">
        <v>0.1</v>
      </c>
      <c r="C12" s="10" t="inlineStr">
        <is>
          <t>Assumption: 10% for development-stage miner</t>
        </is>
      </c>
    </row>
    <row r="13">
      <c r="A13" s="6" t="inlineStr">
        <is>
          <t>Terminal Growth Rate</t>
        </is>
      </c>
      <c r="B13" s="38" t="n">
        <v>0.02</v>
      </c>
      <c r="C13" s="10" t="inlineStr">
        <is>
          <t>Assumption: long-term GDP growth</t>
        </is>
      </c>
    </row>
    <row r="14">
      <c r="A14" s="6" t="inlineStr">
        <is>
          <t>Tax Rate</t>
        </is>
      </c>
      <c r="B14" s="38" t="n">
        <v>0.265</v>
      </c>
      <c r="C14" s="10" t="inlineStr">
        <is>
          <t>Saskatchewan combined rate</t>
        </is>
      </c>
    </row>
    <row r="15">
      <c r="A15" s="6" t="inlineStr">
        <is>
          <t>Shares Outstanding (M)</t>
        </is>
      </c>
      <c r="B15" s="36" t="n">
        <v>897.2</v>
      </c>
      <c r="C15" s="10" t="inlineStr">
        <is>
          <t>Source: Company filings, Mar 2026</t>
        </is>
      </c>
    </row>
    <row r="16">
      <c r="A16" s="6" t="inlineStr">
        <is>
          <t>Phoenix Capex Remaining (CAD $M)</t>
        </is>
      </c>
      <c r="B16" s="39" t="n">
        <v>600</v>
      </c>
      <c r="C16" s="10" t="inlineStr">
        <is>
          <t>Source: Company Class 2 estimate</t>
        </is>
      </c>
    </row>
    <row r="17">
      <c r="A17" s="6" t="inlineStr">
        <is>
          <t>Phoenix Production Start Year</t>
        </is>
      </c>
      <c r="B17" s="40" t="n">
        <v>2028</v>
      </c>
      <c r="C17" s="10" t="inlineStr">
        <is>
          <t>Source: Company guidance, mid-2028</t>
        </is>
      </c>
    </row>
    <row r="19">
      <c r="A19" s="22" t="inlineStr">
        <is>
          <t>PRODUCTION &amp; REVENUE PROJECTIONS</t>
        </is>
      </c>
      <c r="B19" s="22" t="n"/>
      <c r="C19" s="22" t="n"/>
      <c r="D19" s="22" t="n"/>
      <c r="E19" s="22" t="n"/>
      <c r="F19" s="22" t="n"/>
      <c r="G19" s="22" t="n"/>
      <c r="H19" s="22" t="n"/>
    </row>
    <row r="20">
      <c r="A20" s="4" t="inlineStr"/>
      <c r="B20" s="4" t="inlineStr">
        <is>
          <t>Year 1
2026E</t>
        </is>
      </c>
      <c r="C20" s="4" t="inlineStr">
        <is>
          <t>Year 2
2027E</t>
        </is>
      </c>
      <c r="D20" s="4" t="inlineStr">
        <is>
          <t>Year 3
2028E</t>
        </is>
      </c>
      <c r="E20" s="4" t="inlineStr">
        <is>
          <t>Year 4
2029E</t>
        </is>
      </c>
      <c r="F20" s="4" t="inlineStr">
        <is>
          <t>Year 5
2030E</t>
        </is>
      </c>
      <c r="G20" s="4" t="inlineStr">
        <is>
          <t>Terminal</t>
        </is>
      </c>
    </row>
    <row r="21">
      <c r="A21" s="6" t="inlineStr">
        <is>
          <t>McClean Lake Production (M lbs)</t>
        </is>
      </c>
      <c r="B21" s="41" t="n">
        <v>0.65</v>
      </c>
      <c r="C21" s="41" t="n">
        <v>0.65</v>
      </c>
      <c r="D21" s="41" t="n">
        <v>0.65</v>
      </c>
      <c r="E21" s="41" t="n">
        <v>0.65</v>
      </c>
      <c r="F21" s="41" t="n">
        <v>0.65</v>
      </c>
      <c r="G21" s="41" t="n">
        <v>0.65</v>
      </c>
    </row>
    <row r="22">
      <c r="A22" s="6" t="inlineStr">
        <is>
          <t>Phoenix Production (M lbs)</t>
        </is>
      </c>
      <c r="B22" s="18" t="n">
        <v>0</v>
      </c>
      <c r="C22" s="18" t="n">
        <v>0</v>
      </c>
      <c r="D22" s="18" t="n">
        <v>2.7</v>
      </c>
      <c r="E22" s="18" t="n">
        <v>5.4</v>
      </c>
      <c r="F22" s="18" t="n">
        <v>5.4</v>
      </c>
      <c r="G22" s="18" t="n">
        <v>5.4</v>
      </c>
    </row>
    <row r="23">
      <c r="A23" s="7" t="inlineStr">
        <is>
          <t>Total Production (M lbs)</t>
        </is>
      </c>
      <c r="B23" s="42">
        <f>B21+B22</f>
        <v/>
      </c>
      <c r="C23" s="42">
        <f>C21+C22</f>
        <v/>
      </c>
      <c r="D23" s="42">
        <f>D21+D22</f>
        <v/>
      </c>
      <c r="E23" s="42">
        <f>E21+E22</f>
        <v/>
      </c>
      <c r="F23" s="42">
        <f>F21+F22</f>
        <v/>
      </c>
      <c r="G23" s="42">
        <f>G21+G22</f>
        <v/>
      </c>
    </row>
    <row r="24">
      <c r="A24" s="6" t="inlineStr">
        <is>
          <t>Revenue per lb (CAD)</t>
        </is>
      </c>
      <c r="B24" s="43">
        <f>$B$8</f>
        <v/>
      </c>
      <c r="C24" s="43">
        <f>$B$8</f>
        <v/>
      </c>
      <c r="D24" s="43">
        <f>$B$8</f>
        <v/>
      </c>
      <c r="E24" s="43">
        <f>$B$8</f>
        <v/>
      </c>
      <c r="F24" s="43">
        <f>$B$8</f>
        <v/>
      </c>
      <c r="G24" s="43">
        <f>$B$8</f>
        <v/>
      </c>
    </row>
    <row r="25">
      <c r="A25" s="5" t="inlineStr">
        <is>
          <t>Total Revenue (CAD $000s)</t>
        </is>
      </c>
      <c r="B25" s="14">
        <f>B23*B24*1000</f>
        <v/>
      </c>
      <c r="C25" s="14">
        <f>C23*C24*1000</f>
        <v/>
      </c>
      <c r="D25" s="14">
        <f>D23*D24*1000</f>
        <v/>
      </c>
      <c r="E25" s="14">
        <f>E23*E24*1000</f>
        <v/>
      </c>
      <c r="F25" s="14">
        <f>F23*F24*1000</f>
        <v/>
      </c>
      <c r="G25" s="14">
        <f>G23*G24*1000</f>
        <v/>
      </c>
      <c r="I25" s="10" t="inlineStr">
        <is>
          <t>Formula: =Total Production × Revenue per lb × 1000</t>
        </is>
      </c>
    </row>
    <row r="26">
      <c r="A26" s="6" t="inlineStr">
        <is>
          <t>Cash Operating Costs (CAD $000s)</t>
        </is>
      </c>
      <c r="B26" s="44">
        <f>B23*$B$10*1000</f>
        <v/>
      </c>
      <c r="C26" s="44">
        <f>C23*$B$10*1000</f>
        <v/>
      </c>
      <c r="D26" s="44">
        <f>D23*$B$10*1000</f>
        <v/>
      </c>
      <c r="E26" s="44">
        <f>E23*$B$10*1000</f>
        <v/>
      </c>
      <c r="F26" s="44">
        <f>F23*$B$10*1000</f>
        <v/>
      </c>
      <c r="G26" s="44">
        <f>G23*$B$10*1000</f>
        <v/>
      </c>
      <c r="I26" s="10" t="inlineStr">
        <is>
          <t>Formula: =Total Production × Cash Cost/lb × 1000</t>
        </is>
      </c>
    </row>
    <row r="27">
      <c r="A27" s="5" t="inlineStr">
        <is>
          <t>Gross Profit (CAD $000s)</t>
        </is>
      </c>
      <c r="B27" s="14">
        <f>B25-B26</f>
        <v/>
      </c>
      <c r="C27" s="14">
        <f>C25-C26</f>
        <v/>
      </c>
      <c r="D27" s="14">
        <f>D25-D26</f>
        <v/>
      </c>
      <c r="E27" s="14">
        <f>E25-E26</f>
        <v/>
      </c>
      <c r="F27" s="14">
        <f>F25-F26</f>
        <v/>
      </c>
      <c r="G27" s="14">
        <f>G25-G26</f>
        <v/>
      </c>
      <c r="I27" s="10" t="inlineStr">
        <is>
          <t>Formula: =Revenue - Operating Costs</t>
        </is>
      </c>
    </row>
    <row r="28">
      <c r="A28" s="6" t="inlineStr">
        <is>
          <t>G&amp;A Expenses (CAD $000s)</t>
        </is>
      </c>
      <c r="B28" s="11" t="n">
        <v>22000</v>
      </c>
      <c r="C28" s="11" t="n">
        <v>23000</v>
      </c>
      <c r="D28" s="11" t="n">
        <v>25000</v>
      </c>
      <c r="E28" s="11" t="n">
        <v>27000</v>
      </c>
      <c r="F28" s="11" t="n">
        <v>28000</v>
      </c>
      <c r="G28" s="11" t="n">
        <v>29000</v>
      </c>
    </row>
    <row r="29">
      <c r="A29" s="5" t="inlineStr">
        <is>
          <t>EBITDA (CAD $000s)</t>
        </is>
      </c>
      <c r="B29" s="14">
        <f>B27-B28</f>
        <v/>
      </c>
      <c r="C29" s="14">
        <f>C27-C28</f>
        <v/>
      </c>
      <c r="D29" s="14">
        <f>D27-D28</f>
        <v/>
      </c>
      <c r="E29" s="14">
        <f>E27-E28</f>
        <v/>
      </c>
      <c r="F29" s="14">
        <f>F27-F28</f>
        <v/>
      </c>
      <c r="G29" s="14">
        <f>G27-G28</f>
        <v/>
      </c>
      <c r="I29" s="10" t="inlineStr">
        <is>
          <t>Formula: =Gross Profit - G&amp;A</t>
        </is>
      </c>
    </row>
    <row r="30">
      <c r="A30" s="6" t="inlineStr">
        <is>
          <t>D&amp;A (CAD $000s)</t>
        </is>
      </c>
      <c r="B30" s="11" t="n">
        <v>8000</v>
      </c>
      <c r="C30" s="11" t="n">
        <v>9000</v>
      </c>
      <c r="D30" s="11" t="n">
        <v>15000</v>
      </c>
      <c r="E30" s="11" t="n">
        <v>22000</v>
      </c>
      <c r="F30" s="11" t="n">
        <v>22000</v>
      </c>
      <c r="G30" s="11" t="n">
        <v>22000</v>
      </c>
    </row>
    <row r="31">
      <c r="A31" s="5" t="inlineStr">
        <is>
          <t>EBIT (CAD $000s)</t>
        </is>
      </c>
      <c r="B31" s="14">
        <f>B29-B30</f>
        <v/>
      </c>
      <c r="C31" s="14">
        <f>C29-C30</f>
        <v/>
      </c>
      <c r="D31" s="14">
        <f>D29-D30</f>
        <v/>
      </c>
      <c r="E31" s="14">
        <f>E29-E30</f>
        <v/>
      </c>
      <c r="F31" s="14">
        <f>F29-F30</f>
        <v/>
      </c>
      <c r="G31" s="14">
        <f>G29-G30</f>
        <v/>
      </c>
      <c r="I31" s="10" t="inlineStr">
        <is>
          <t>Formula: =EBITDA - D&amp;A</t>
        </is>
      </c>
    </row>
    <row r="32">
      <c r="A32" s="6" t="inlineStr">
        <is>
          <t>Taxes (CAD $000s)</t>
        </is>
      </c>
      <c r="B32" s="44">
        <f>MAX(0,B31*$B$14)</f>
        <v/>
      </c>
      <c r="C32" s="44">
        <f>MAX(0,C31*$B$14)</f>
        <v/>
      </c>
      <c r="D32" s="44">
        <f>MAX(0,D31*$B$14)</f>
        <v/>
      </c>
      <c r="E32" s="44">
        <f>MAX(0,E31*$B$14)</f>
        <v/>
      </c>
      <c r="F32" s="44">
        <f>MAX(0,F31*$B$14)</f>
        <v/>
      </c>
      <c r="G32" s="44">
        <f>MAX(0,G31*$B$14)</f>
        <v/>
      </c>
      <c r="I32" s="10" t="inlineStr">
        <is>
          <t>Formula: =MAX(0, EBIT × Tax Rate)</t>
        </is>
      </c>
    </row>
    <row r="33">
      <c r="A33" s="5" t="inlineStr">
        <is>
          <t>NOPAT (CAD $000s)</t>
        </is>
      </c>
      <c r="B33" s="14">
        <f>B31-B32</f>
        <v/>
      </c>
      <c r="C33" s="14">
        <f>C31-C32</f>
        <v/>
      </c>
      <c r="D33" s="14">
        <f>D31-D32</f>
        <v/>
      </c>
      <c r="E33" s="14">
        <f>E31-E32</f>
        <v/>
      </c>
      <c r="F33" s="14">
        <f>F31-F32</f>
        <v/>
      </c>
      <c r="G33" s="14">
        <f>G31-G32</f>
        <v/>
      </c>
      <c r="I33" s="10" t="inlineStr">
        <is>
          <t>Formula: =EBIT - Taxes</t>
        </is>
      </c>
    </row>
    <row r="34">
      <c r="A34" s="6" t="inlineStr">
        <is>
          <t>Plus: D&amp;A</t>
        </is>
      </c>
      <c r="B34" s="31">
        <f>B30</f>
        <v/>
      </c>
      <c r="C34" s="31">
        <f>C30</f>
        <v/>
      </c>
      <c r="D34" s="31">
        <f>D30</f>
        <v/>
      </c>
      <c r="E34" s="31">
        <f>E30</f>
        <v/>
      </c>
      <c r="F34" s="31">
        <f>F30</f>
        <v/>
      </c>
      <c r="G34" s="31">
        <f>G30</f>
        <v/>
      </c>
    </row>
    <row r="35">
      <c r="A35" s="6" t="inlineStr">
        <is>
          <t>Less: Capex (CAD $000s)</t>
        </is>
      </c>
      <c r="B35" s="45" t="n">
        <v>-120000</v>
      </c>
      <c r="C35" s="45" t="n">
        <v>-250000</v>
      </c>
      <c r="D35" s="45" t="n">
        <v>-200000</v>
      </c>
      <c r="E35" s="45" t="n">
        <v>-30000</v>
      </c>
      <c r="F35" s="45" t="n">
        <v>-25000</v>
      </c>
      <c r="G35" s="11" t="n">
        <v>-25000</v>
      </c>
    </row>
    <row r="36">
      <c r="A36" s="6" t="inlineStr">
        <is>
          <t>Less: Change in Working Capital (CAD $000s)</t>
        </is>
      </c>
      <c r="B36" s="11" t="n">
        <v>-5000</v>
      </c>
      <c r="C36" s="11" t="n">
        <v>-8000</v>
      </c>
      <c r="D36" s="11" t="n">
        <v>-10000</v>
      </c>
      <c r="E36" s="11" t="n">
        <v>-5000</v>
      </c>
      <c r="F36" s="11" t="n">
        <v>-3000</v>
      </c>
      <c r="G36" s="11" t="n">
        <v>-3000</v>
      </c>
    </row>
    <row r="37">
      <c r="A37" s="25" t="inlineStr">
        <is>
          <t>UNLEVERED FREE CASH FLOW (CAD $000s)</t>
        </is>
      </c>
      <c r="B37" s="26">
        <f>B33+B34+B35+B36</f>
        <v/>
      </c>
      <c r="C37" s="26">
        <f>C33+C34+C35+C36</f>
        <v/>
      </c>
      <c r="D37" s="26">
        <f>D33+D34+D35+D36</f>
        <v/>
      </c>
      <c r="E37" s="26">
        <f>E33+E34+E35+E36</f>
        <v/>
      </c>
      <c r="F37" s="26">
        <f>F33+F34+F35+F36</f>
        <v/>
      </c>
      <c r="G37" s="26">
        <f>G33+G34+G35+G36</f>
        <v/>
      </c>
      <c r="I37" s="10" t="inlineStr">
        <is>
          <t>Formula: =NOPAT + D&amp;A + Capex + ΔWC</t>
        </is>
      </c>
    </row>
    <row r="39">
      <c r="A39" s="22" t="inlineStr">
        <is>
          <t>DCF VALUATION</t>
        </is>
      </c>
      <c r="B39" s="22" t="n"/>
      <c r="C39" s="22" t="n"/>
      <c r="D39" s="22" t="n"/>
      <c r="E39" s="22" t="n"/>
      <c r="F39" s="22" t="n"/>
      <c r="G39" s="22" t="n"/>
      <c r="H39" s="22" t="n"/>
    </row>
    <row r="40">
      <c r="A40" s="6" t="inlineStr">
        <is>
          <t>Discount Factor</t>
        </is>
      </c>
      <c r="B40" s="46">
        <f>1/(1+$B$12)^1</f>
        <v/>
      </c>
      <c r="C40" s="46">
        <f>1/(1+$B$12)^2</f>
        <v/>
      </c>
      <c r="D40" s="46">
        <f>1/(1+$B$12)^3</f>
        <v/>
      </c>
      <c r="E40" s="46">
        <f>1/(1+$B$12)^4</f>
        <v/>
      </c>
      <c r="F40" s="46">
        <f>1/(1+$B$12)^5</f>
        <v/>
      </c>
      <c r="I40" s="10" t="inlineStr">
        <is>
          <t>Formula: =1/(1+WACC)^Year</t>
        </is>
      </c>
    </row>
    <row r="41">
      <c r="A41" s="5" t="inlineStr">
        <is>
          <t>PV of FCF</t>
        </is>
      </c>
      <c r="B41" s="14">
        <f>B37*B40</f>
        <v/>
      </c>
      <c r="C41" s="14">
        <f>C37*C40</f>
        <v/>
      </c>
      <c r="D41" s="14">
        <f>D37*D40</f>
        <v/>
      </c>
      <c r="E41" s="14">
        <f>E37*E40</f>
        <v/>
      </c>
      <c r="F41" s="14">
        <f>F37*F40</f>
        <v/>
      </c>
      <c r="I41" s="10" t="inlineStr">
        <is>
          <t>Formula: =UFCF × Discount Factor</t>
        </is>
      </c>
    </row>
    <row r="43">
      <c r="A43" s="5" t="inlineStr">
        <is>
          <t>Sum of PV of FCFs</t>
        </is>
      </c>
      <c r="B43" s="14">
        <f>SUM(B41:F41)</f>
        <v/>
      </c>
      <c r="I43" s="10" t="inlineStr">
        <is>
          <t>Formula: =SUM(PV of each year's FCF)</t>
        </is>
      </c>
    </row>
    <row r="44">
      <c r="A44" s="5" t="inlineStr">
        <is>
          <t>Terminal Value (Gordon Growth)</t>
        </is>
      </c>
      <c r="B44" s="14">
        <f>G37*(1+$B$13)/($B$12-$B$13)</f>
        <v/>
      </c>
      <c r="I44" s="10" t="inlineStr">
        <is>
          <t>Formula: =Terminal FCF × (1+g) / (WACC - g)</t>
        </is>
      </c>
    </row>
    <row r="45">
      <c r="A45" s="5" t="inlineStr">
        <is>
          <t>PV of Terminal Value</t>
        </is>
      </c>
      <c r="B45" s="14">
        <f>B44/(1+$B$12)^5</f>
        <v/>
      </c>
      <c r="I45" s="10" t="inlineStr">
        <is>
          <t>Formula: =Terminal Value / (1+WACC)^5</t>
        </is>
      </c>
    </row>
    <row r="47">
      <c r="A47" s="25" t="inlineStr">
        <is>
          <t>Enterprise Value (CAD $000s)</t>
        </is>
      </c>
      <c r="B47" s="26">
        <f>B43+B45</f>
        <v/>
      </c>
      <c r="I47" s="10" t="inlineStr">
        <is>
          <t>Formula: =Sum PV FCFs + PV Terminal Value</t>
        </is>
      </c>
    </row>
    <row r="49">
      <c r="A49" s="22" t="inlineStr">
        <is>
          <t>BRIDGE TO EQUITY VALUE</t>
        </is>
      </c>
      <c r="B49" s="22" t="n"/>
      <c r="C49" s="22" t="n"/>
      <c r="D49" s="22" t="n"/>
      <c r="E49" s="22" t="n"/>
      <c r="F49" s="22" t="n"/>
      <c r="G49" s="22" t="n"/>
      <c r="H49" s="22" t="n"/>
    </row>
    <row r="50">
      <c r="A50" s="6" t="inlineStr">
        <is>
          <t>Enterprise Value</t>
        </is>
      </c>
      <c r="B50" s="44">
        <f>B47</f>
        <v/>
      </c>
      <c r="I50" s="10" t="inlineStr">
        <is>
          <t>Links to Enterprise Value calculated above</t>
        </is>
      </c>
    </row>
    <row r="51">
      <c r="A51" s="6" t="inlineStr">
        <is>
          <t>Plus: Cash &amp; Equivalents</t>
        </is>
      </c>
      <c r="B51" s="11" t="n">
        <v>195000</v>
      </c>
    </row>
    <row r="52">
      <c r="A52" s="6" t="inlineStr">
        <is>
          <t>Plus: Short-Term Investments</t>
        </is>
      </c>
      <c r="B52" s="11" t="n">
        <v>72000</v>
      </c>
    </row>
    <row r="53">
      <c r="A53" s="6" t="inlineStr">
        <is>
          <t>Plus: Physical Uranium Inventory</t>
        </is>
      </c>
      <c r="B53" s="11" t="n">
        <v>165000</v>
      </c>
    </row>
    <row r="54">
      <c r="A54" s="6" t="inlineStr">
        <is>
          <t>Less: Total Debt (Convertible Notes)</t>
        </is>
      </c>
      <c r="B54" s="11" t="n">
        <v>-469000</v>
      </c>
    </row>
    <row r="55">
      <c r="A55" s="6" t="inlineStr">
        <is>
          <t>Less: Other Liabilities</t>
        </is>
      </c>
      <c r="B55" s="11" t="n">
        <v>-52000</v>
      </c>
    </row>
    <row r="56">
      <c r="A56" s="7" t="inlineStr">
        <is>
          <t>Equity Value (CAD $000s)</t>
        </is>
      </c>
      <c r="B56" s="9">
        <f>SUM(B50:B55)</f>
        <v/>
      </c>
      <c r="I56" s="10" t="inlineStr">
        <is>
          <t>Formula: =SUM(EV + Cash + Inv + Uranium - Debt - Other Liab)</t>
        </is>
      </c>
    </row>
    <row r="57">
      <c r="A57" s="5" t="inlineStr">
        <is>
          <t>Equity Value (CAD $M)</t>
        </is>
      </c>
      <c r="B57" s="47">
        <f>B56/1000</f>
        <v/>
      </c>
    </row>
    <row r="58">
      <c r="A58" s="7" t="inlineStr">
        <is>
          <t>Implied Price per Share (CAD)</t>
        </is>
      </c>
      <c r="B58" s="48">
        <f>B56/($B$15*1000)</f>
        <v/>
      </c>
      <c r="I58" s="10" t="inlineStr">
        <is>
          <t>Formula: =Equity Value / Shares Outstanding</t>
        </is>
      </c>
    </row>
    <row r="59">
      <c r="A59" s="32" t="inlineStr">
        <is>
          <t>Implied Price per Share (USD)</t>
        </is>
      </c>
      <c r="B59" s="49">
        <f>B58/$B$7</f>
        <v/>
      </c>
      <c r="I59" s="10" t="inlineStr">
        <is>
          <t>Formula: =CAD Price / USD-CAD Rate</t>
        </is>
      </c>
    </row>
    <row r="61">
      <c r="A61" s="22" t="inlineStr">
        <is>
          <t>SENSITIVITY ANALYSIS — Implied Share Price (USD)</t>
        </is>
      </c>
      <c r="B61" s="22" t="n"/>
      <c r="C61" s="22" t="n"/>
      <c r="D61" s="22" t="n"/>
      <c r="E61" s="22" t="n"/>
      <c r="F61" s="22" t="n"/>
      <c r="G61" s="22" t="n"/>
      <c r="H61" s="22" t="n"/>
    </row>
    <row r="62">
      <c r="A62" s="5" t="inlineStr">
        <is>
          <t>WACC ↓ / Terminal Growth →</t>
        </is>
      </c>
      <c r="B62" s="50" t="n">
        <v>0.01</v>
      </c>
      <c r="C62" s="50" t="n">
        <v>0.015</v>
      </c>
      <c r="D62" s="50" t="n">
        <v>0.02</v>
      </c>
      <c r="E62" s="50" t="n">
        <v>0.025</v>
      </c>
      <c r="F62" s="50" t="n">
        <v>0.03</v>
      </c>
    </row>
    <row r="63">
      <c r="A63" s="50" t="n">
        <v>0.08</v>
      </c>
      <c r="B63" s="30">
        <f>(B43+(G37*(1+B$62)/($A63-B$62))/(1+$A63)^5+B51+B52+B53+B54+B55)/(($B$15)*1000*$B$7)</f>
        <v/>
      </c>
      <c r="C63" s="30">
        <f>(B43+(G37*(1+C$62)/($A63-C$62))/(1+$A63)^5+B51+B52+B53+B54+B55)/(($B$15)*1000*$B$7)</f>
        <v/>
      </c>
      <c r="D63" s="30">
        <f>(B43+(G37*(1+D$62)/($A63-D$62))/(1+$A63)^5+B51+B52+B53+B54+B55)/(($B$15)*1000*$B$7)</f>
        <v/>
      </c>
      <c r="E63" s="30">
        <f>(B43+(G37*(1+E$62)/($A63-E$62))/(1+$A63)^5+B51+B52+B53+B54+B55)/(($B$15)*1000*$B$7)</f>
        <v/>
      </c>
      <c r="F63" s="30">
        <f>(B43+(G37*(1+F$62)/($A63-F$62))/(1+$A63)^5+B51+B52+B53+B54+B55)/(($B$15)*1000*$B$7)</f>
        <v/>
      </c>
    </row>
    <row r="64">
      <c r="A64" s="50" t="n">
        <v>0.09</v>
      </c>
      <c r="B64" s="30">
        <f>(B43+(G37*(1+B$62)/($A64-B$62))/(1+$A64)^5+B51+B52+B53+B54+B55)/(($B$15)*1000*$B$7)</f>
        <v/>
      </c>
      <c r="C64" s="30">
        <f>(B43+(G37*(1+C$62)/($A64-C$62))/(1+$A64)^5+B51+B52+B53+B54+B55)/(($B$15)*1000*$B$7)</f>
        <v/>
      </c>
      <c r="D64" s="30">
        <f>(B43+(G37*(1+D$62)/($A64-D$62))/(1+$A64)^5+B51+B52+B53+B54+B55)/(($B$15)*1000*$B$7)</f>
        <v/>
      </c>
      <c r="E64" s="30">
        <f>(B43+(G37*(1+E$62)/($A64-E$62))/(1+$A64)^5+B51+B52+B53+B54+B55)/(($B$15)*1000*$B$7)</f>
        <v/>
      </c>
      <c r="F64" s="30">
        <f>(B43+(G37*(1+F$62)/($A64-F$62))/(1+$A64)^5+B51+B52+B53+B54+B55)/(($B$15)*1000*$B$7)</f>
        <v/>
      </c>
    </row>
    <row r="65">
      <c r="A65" s="50" t="n">
        <v>0.1</v>
      </c>
      <c r="B65" s="30">
        <f>(B43+(G37*(1+B$62)/($A65-B$62))/(1+$A65)^5+B51+B52+B53+B54+B55)/(($B$15)*1000*$B$7)</f>
        <v/>
      </c>
      <c r="C65" s="30">
        <f>(B43+(G37*(1+C$62)/($A65-C$62))/(1+$A65)^5+B51+B52+B53+B54+B55)/(($B$15)*1000*$B$7)</f>
        <v/>
      </c>
      <c r="D65" s="30">
        <f>(B43+(G37*(1+D$62)/($A65-D$62))/(1+$A65)^5+B51+B52+B53+B54+B55)/(($B$15)*1000*$B$7)</f>
        <v/>
      </c>
      <c r="E65" s="30">
        <f>(B43+(G37*(1+E$62)/($A65-E$62))/(1+$A65)^5+B51+B52+B53+B54+B55)/(($B$15)*1000*$B$7)</f>
        <v/>
      </c>
      <c r="F65" s="30">
        <f>(B43+(G37*(1+F$62)/($A65-F$62))/(1+$A65)^5+B51+B52+B53+B54+B55)/(($B$15)*1000*$B$7)</f>
        <v/>
      </c>
    </row>
    <row r="66">
      <c r="A66" s="50" t="n">
        <v>0.11</v>
      </c>
      <c r="B66" s="30">
        <f>(B43+(G37*(1+B$62)/($A66-B$62))/(1+$A66)^5+B51+B52+B53+B54+B55)/(($B$15)*1000*$B$7)</f>
        <v/>
      </c>
      <c r="C66" s="30">
        <f>(B43+(G37*(1+C$62)/($A66-C$62))/(1+$A66)^5+B51+B52+B53+B54+B55)/(($B$15)*1000*$B$7)</f>
        <v/>
      </c>
      <c r="D66" s="30">
        <f>(B43+(G37*(1+D$62)/($A66-D$62))/(1+$A66)^5+B51+B52+B53+B54+B55)/(($B$15)*1000*$B$7)</f>
        <v/>
      </c>
      <c r="E66" s="30">
        <f>(B43+(G37*(1+E$62)/($A66-E$62))/(1+$A66)^5+B51+B52+B53+B54+B55)/(($B$15)*1000*$B$7)</f>
        <v/>
      </c>
      <c r="F66" s="30">
        <f>(B43+(G37*(1+F$62)/($A66-F$62))/(1+$A66)^5+B51+B52+B53+B54+B55)/(($B$15)*1000*$B$7)</f>
        <v/>
      </c>
    </row>
    <row r="67">
      <c r="A67" s="50" t="n">
        <v>0.12</v>
      </c>
      <c r="B67" s="30">
        <f>(B43+(G37*(1+B$62)/($A67-B$62))/(1+$A67)^5+B51+B52+B53+B54+B55)/(($B$15)*1000*$B$7)</f>
        <v/>
      </c>
      <c r="C67" s="30">
        <f>(B43+(G37*(1+C$62)/($A67-C$62))/(1+$A67)^5+B51+B52+B53+B54+B55)/(($B$15)*1000*$B$7)</f>
        <v/>
      </c>
      <c r="D67" s="30">
        <f>(B43+(G37*(1+D$62)/($A67-D$62))/(1+$A67)^5+B51+B52+B53+B54+B55)/(($B$15)*1000*$B$7)</f>
        <v/>
      </c>
      <c r="E67" s="30">
        <f>(B43+(G37*(1+E$62)/($A67-E$62))/(1+$A67)^5+B51+B52+B53+B54+B55)/(($B$15)*1000*$B$7)</f>
        <v/>
      </c>
      <c r="F67" s="30">
        <f>(B43+(G37*(1+F$62)/($A67-F$62))/(1+$A67)^5+B51+B52+B53+B54+B55)/(($B$15)*1000*$B$7)</f>
        <v/>
      </c>
    </row>
    <row r="68">
      <c r="I68" s="10" t="inlineStr">
        <is>
          <t>Formula: =(Sum PV FCFs + TV_scenario + Cash - Debt) / (Shares × FX)</t>
        </is>
      </c>
    </row>
    <row r="70">
      <c r="A70" s="22" t="inlineStr">
        <is>
          <t>SENSITIVITY — Uranium Price (USD/lb) vs WACC</t>
        </is>
      </c>
      <c r="B70" s="22" t="n"/>
      <c r="C70" s="22" t="n"/>
      <c r="D70" s="22" t="n"/>
      <c r="E70" s="22" t="n"/>
      <c r="F70" s="22" t="n"/>
      <c r="G70" s="22" t="n"/>
      <c r="H70" s="22" t="n"/>
    </row>
    <row r="71">
      <c r="A71" s="5" t="inlineStr">
        <is>
          <t>WACC ↓ / U Price →</t>
        </is>
      </c>
      <c r="B71" s="51" t="n">
        <v>60</v>
      </c>
      <c r="C71" s="51" t="n">
        <v>70</v>
      </c>
      <c r="D71" s="51" t="n">
        <v>80</v>
      </c>
      <c r="E71" s="51" t="n">
        <v>90</v>
      </c>
      <c r="F71" s="51" t="n">
        <v>100</v>
      </c>
    </row>
    <row r="72">
      <c r="A72" s="50" t="n">
        <v>0.08</v>
      </c>
      <c r="B72" s="30">
        <f>((6.05*B$71*$B$7*1000-6.05*$B$10*1000-28000)*(1-$B$14)+22000-25000-3000)*(1/(1+$A72)+(1/(1+$A72)^2)+(1/(1+$A72)^3)+(1/(1+$A72)^4)+(1/(1+$A72)^5)+((1+$B$13)/($A72-$B$13))/(1+$A72)^5)/(($B$15)*1000*$B$7)</f>
        <v/>
      </c>
      <c r="C72" s="30">
        <f>((6.05*C$71*$B$7*1000-6.05*$B$10*1000-28000)*(1-$B$14)+22000-25000-3000)*(1/(1+$A72)+(1/(1+$A72)^2)+(1/(1+$A72)^3)+(1/(1+$A72)^4)+(1/(1+$A72)^5)+((1+$B$13)/($A72-$B$13))/(1+$A72)^5)/(($B$15)*1000*$B$7)</f>
        <v/>
      </c>
      <c r="D72" s="30">
        <f>((6.05*D$71*$B$7*1000-6.05*$B$10*1000-28000)*(1-$B$14)+22000-25000-3000)*(1/(1+$A72)+(1/(1+$A72)^2)+(1/(1+$A72)^3)+(1/(1+$A72)^4)+(1/(1+$A72)^5)+((1+$B$13)/($A72-$B$13))/(1+$A72)^5)/(($B$15)*1000*$B$7)</f>
        <v/>
      </c>
      <c r="E72" s="30">
        <f>((6.05*E$71*$B$7*1000-6.05*$B$10*1000-28000)*(1-$B$14)+22000-25000-3000)*(1/(1+$A72)+(1/(1+$A72)^2)+(1/(1+$A72)^3)+(1/(1+$A72)^4)+(1/(1+$A72)^5)+((1+$B$13)/($A72-$B$13))/(1+$A72)^5)/(($B$15)*1000*$B$7)</f>
        <v/>
      </c>
      <c r="F72" s="30">
        <f>((6.05*F$71*$B$7*1000-6.05*$B$10*1000-28000)*(1-$B$14)+22000-25000-3000)*(1/(1+$A72)+(1/(1+$A72)^2)+(1/(1+$A72)^3)+(1/(1+$A72)^4)+(1/(1+$A72)^5)+((1+$B$13)/($A72-$B$13))/(1+$A72)^5)/(($B$15)*1000*$B$7)</f>
        <v/>
      </c>
    </row>
    <row r="73">
      <c r="A73" s="50" t="n">
        <v>0.09</v>
      </c>
      <c r="B73" s="30">
        <f>((6.05*B$71*$B$7*1000-6.05*$B$10*1000-28000)*(1-$B$14)+22000-25000-3000)*(1/(1+$A73)+(1/(1+$A73)^2)+(1/(1+$A73)^3)+(1/(1+$A73)^4)+(1/(1+$A73)^5)+((1+$B$13)/($A73-$B$13))/(1+$A73)^5)/(($B$15)*1000*$B$7)</f>
        <v/>
      </c>
      <c r="C73" s="30">
        <f>((6.05*C$71*$B$7*1000-6.05*$B$10*1000-28000)*(1-$B$14)+22000-25000-3000)*(1/(1+$A73)+(1/(1+$A73)^2)+(1/(1+$A73)^3)+(1/(1+$A73)^4)+(1/(1+$A73)^5)+((1+$B$13)/($A73-$B$13))/(1+$A73)^5)/(($B$15)*1000*$B$7)</f>
        <v/>
      </c>
      <c r="D73" s="30">
        <f>((6.05*D$71*$B$7*1000-6.05*$B$10*1000-28000)*(1-$B$14)+22000-25000-3000)*(1/(1+$A73)+(1/(1+$A73)^2)+(1/(1+$A73)^3)+(1/(1+$A73)^4)+(1/(1+$A73)^5)+((1+$B$13)/($A73-$B$13))/(1+$A73)^5)/(($B$15)*1000*$B$7)</f>
        <v/>
      </c>
      <c r="E73" s="30">
        <f>((6.05*E$71*$B$7*1000-6.05*$B$10*1000-28000)*(1-$B$14)+22000-25000-3000)*(1/(1+$A73)+(1/(1+$A73)^2)+(1/(1+$A73)^3)+(1/(1+$A73)^4)+(1/(1+$A73)^5)+((1+$B$13)/($A73-$B$13))/(1+$A73)^5)/(($B$15)*1000*$B$7)</f>
        <v/>
      </c>
      <c r="F73" s="30">
        <f>((6.05*F$71*$B$7*1000-6.05*$B$10*1000-28000)*(1-$B$14)+22000-25000-3000)*(1/(1+$A73)+(1/(1+$A73)^2)+(1/(1+$A73)^3)+(1/(1+$A73)^4)+(1/(1+$A73)^5)+((1+$B$13)/($A73-$B$13))/(1+$A73)^5)/(($B$15)*1000*$B$7)</f>
        <v/>
      </c>
    </row>
    <row r="74">
      <c r="A74" s="50" t="n">
        <v>0.1</v>
      </c>
      <c r="B74" s="30">
        <f>((6.05*B$71*$B$7*1000-6.05*$B$10*1000-28000)*(1-$B$14)+22000-25000-3000)*(1/(1+$A74)+(1/(1+$A74)^2)+(1/(1+$A74)^3)+(1/(1+$A74)^4)+(1/(1+$A74)^5)+((1+$B$13)/($A74-$B$13))/(1+$A74)^5)/(($B$15)*1000*$B$7)</f>
        <v/>
      </c>
      <c r="C74" s="30">
        <f>((6.05*C$71*$B$7*1000-6.05*$B$10*1000-28000)*(1-$B$14)+22000-25000-3000)*(1/(1+$A74)+(1/(1+$A74)^2)+(1/(1+$A74)^3)+(1/(1+$A74)^4)+(1/(1+$A74)^5)+((1+$B$13)/($A74-$B$13))/(1+$A74)^5)/(($B$15)*1000*$B$7)</f>
        <v/>
      </c>
      <c r="D74" s="30">
        <f>((6.05*D$71*$B$7*1000-6.05*$B$10*1000-28000)*(1-$B$14)+22000-25000-3000)*(1/(1+$A74)+(1/(1+$A74)^2)+(1/(1+$A74)^3)+(1/(1+$A74)^4)+(1/(1+$A74)^5)+((1+$B$13)/($A74-$B$13))/(1+$A74)^5)/(($B$15)*1000*$B$7)</f>
        <v/>
      </c>
      <c r="E74" s="30">
        <f>((6.05*E$71*$B$7*1000-6.05*$B$10*1000-28000)*(1-$B$14)+22000-25000-3000)*(1/(1+$A74)+(1/(1+$A74)^2)+(1/(1+$A74)^3)+(1/(1+$A74)^4)+(1/(1+$A74)^5)+((1+$B$13)/($A74-$B$13))/(1+$A74)^5)/(($B$15)*1000*$B$7)</f>
        <v/>
      </c>
      <c r="F74" s="30">
        <f>((6.05*F$71*$B$7*1000-6.05*$B$10*1000-28000)*(1-$B$14)+22000-25000-3000)*(1/(1+$A74)+(1/(1+$A74)^2)+(1/(1+$A74)^3)+(1/(1+$A74)^4)+(1/(1+$A74)^5)+((1+$B$13)/($A74-$B$13))/(1+$A74)^5)/(($B$15)*1000*$B$7)</f>
        <v/>
      </c>
    </row>
    <row r="75">
      <c r="A75" s="50" t="n">
        <v>0.11</v>
      </c>
      <c r="B75" s="30">
        <f>((6.05*B$71*$B$7*1000-6.05*$B$10*1000-28000)*(1-$B$14)+22000-25000-3000)*(1/(1+$A75)+(1/(1+$A75)^2)+(1/(1+$A75)^3)+(1/(1+$A75)^4)+(1/(1+$A75)^5)+((1+$B$13)/($A75-$B$13))/(1+$A75)^5)/(($B$15)*1000*$B$7)</f>
        <v/>
      </c>
      <c r="C75" s="30">
        <f>((6.05*C$71*$B$7*1000-6.05*$B$10*1000-28000)*(1-$B$14)+22000-25000-3000)*(1/(1+$A75)+(1/(1+$A75)^2)+(1/(1+$A75)^3)+(1/(1+$A75)^4)+(1/(1+$A75)^5)+((1+$B$13)/($A75-$B$13))/(1+$A75)^5)/(($B$15)*1000*$B$7)</f>
        <v/>
      </c>
      <c r="D75" s="30">
        <f>((6.05*D$71*$B$7*1000-6.05*$B$10*1000-28000)*(1-$B$14)+22000-25000-3000)*(1/(1+$A75)+(1/(1+$A75)^2)+(1/(1+$A75)^3)+(1/(1+$A75)^4)+(1/(1+$A75)^5)+((1+$B$13)/($A75-$B$13))/(1+$A75)^5)/(($B$15)*1000*$B$7)</f>
        <v/>
      </c>
      <c r="E75" s="30">
        <f>((6.05*E$71*$B$7*1000-6.05*$B$10*1000-28000)*(1-$B$14)+22000-25000-3000)*(1/(1+$A75)+(1/(1+$A75)^2)+(1/(1+$A75)^3)+(1/(1+$A75)^4)+(1/(1+$A75)^5)+((1+$B$13)/($A75-$B$13))/(1+$A75)^5)/(($B$15)*1000*$B$7)</f>
        <v/>
      </c>
      <c r="F75" s="30">
        <f>((6.05*F$71*$B$7*1000-6.05*$B$10*1000-28000)*(1-$B$14)+22000-25000-3000)*(1/(1+$A75)+(1/(1+$A75)^2)+(1/(1+$A75)^3)+(1/(1+$A75)^4)+(1/(1+$A75)^5)+((1+$B$13)/($A75-$B$13))/(1+$A75)^5)/(($B$15)*1000*$B$7)</f>
        <v/>
      </c>
    </row>
    <row r="76">
      <c r="A76" s="50" t="n">
        <v>0.12</v>
      </c>
      <c r="B76" s="30">
        <f>((6.05*B$71*$B$7*1000-6.05*$B$10*1000-28000)*(1-$B$14)+22000-25000-3000)*(1/(1+$A76)+(1/(1+$A76)^2)+(1/(1+$A76)^3)+(1/(1+$A76)^4)+(1/(1+$A76)^5)+((1+$B$13)/($A76-$B$13))/(1+$A76)^5)/(($B$15)*1000*$B$7)</f>
        <v/>
      </c>
      <c r="C76" s="30">
        <f>((6.05*C$71*$B$7*1000-6.05*$B$10*1000-28000)*(1-$B$14)+22000-25000-3000)*(1/(1+$A76)+(1/(1+$A76)^2)+(1/(1+$A76)^3)+(1/(1+$A76)^4)+(1/(1+$A76)^5)+((1+$B$13)/($A76-$B$13))/(1+$A76)^5)/(($B$15)*1000*$B$7)</f>
        <v/>
      </c>
      <c r="D76" s="30">
        <f>((6.05*D$71*$B$7*1000-6.05*$B$10*1000-28000)*(1-$B$14)+22000-25000-3000)*(1/(1+$A76)+(1/(1+$A76)^2)+(1/(1+$A76)^3)+(1/(1+$A76)^4)+(1/(1+$A76)^5)+((1+$B$13)/($A76-$B$13))/(1+$A76)^5)/(($B$15)*1000*$B$7)</f>
        <v/>
      </c>
      <c r="E76" s="30">
        <f>((6.05*E$71*$B$7*1000-6.05*$B$10*1000-28000)*(1-$B$14)+22000-25000-3000)*(1/(1+$A76)+(1/(1+$A76)^2)+(1/(1+$A76)^3)+(1/(1+$A76)^4)+(1/(1+$A76)^5)+((1+$B$13)/($A76-$B$13))/(1+$A76)^5)/(($B$15)*1000*$B$7)</f>
        <v/>
      </c>
      <c r="F76" s="30">
        <f>((6.05*F$71*$B$7*1000-6.05*$B$10*1000-28000)*(1-$B$14)+22000-25000-3000)*(1/(1+$A76)+(1/(1+$A76)^2)+(1/(1+$A76)^3)+(1/(1+$A76)^4)+(1/(1+$A76)^5)+((1+$B$13)/($A76-$B$13))/(1+$A76)^5)/(($B$15)*1000*$B$7)</f>
        <v/>
      </c>
    </row>
    <row r="77">
      <c r="I77" s="10" t="inlineStr">
        <is>
          <t>Steady-state FCF sensitivity at each price/WACC combo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1" t="inlineStr">
        <is>
          <t>DENISON MINES CORP — Valuation Summary &amp; Peer Comparables</t>
        </is>
      </c>
    </row>
    <row r="3">
      <c r="A3" s="22" t="inlineStr">
        <is>
          <t>NET ASSET VALUE (NAV) MODEL</t>
        </is>
      </c>
      <c r="B3" s="22" t="n"/>
      <c r="C3" s="22" t="n"/>
      <c r="D3" s="22" t="n"/>
      <c r="E3" s="22" t="n"/>
      <c r="F3" s="22" t="n"/>
      <c r="G3" s="22" t="n"/>
      <c r="H3" s="22" t="n"/>
    </row>
    <row r="4">
      <c r="A4" s="4" t="inlineStr">
        <is>
          <t>Asset / Liability</t>
        </is>
      </c>
      <c r="B4" s="4" t="inlineStr">
        <is>
          <t>Denison Share</t>
        </is>
      </c>
      <c r="C4" s="4" t="inlineStr">
        <is>
          <t>Value (CAD $M)</t>
        </is>
      </c>
      <c r="D4" s="4" t="inlineStr">
        <is>
          <t>Notes</t>
        </is>
      </c>
    </row>
    <row r="5">
      <c r="A5" s="6" t="inlineStr">
        <is>
          <t>Phoenix Deposit (ISR)</t>
        </is>
      </c>
      <c r="B5" s="6" t="inlineStr">
        <is>
          <t>95%</t>
        </is>
      </c>
      <c r="C5" s="52" t="n"/>
      <c r="D5" s="10" t="inlineStr">
        <is>
          <t>PFS NPV8% at $85/lb U3O8</t>
        </is>
      </c>
    </row>
    <row r="6">
      <c r="A6" s="6" t="inlineStr">
        <is>
          <t xml:space="preserve">  Gross NPV8% (CAD $M)</t>
        </is>
      </c>
      <c r="B6" s="6" t="inlineStr"/>
      <c r="C6" s="53" t="n">
        <v>3200</v>
      </c>
      <c r="D6" s="10" t="inlineStr">
        <is>
          <t>Source: Company PFS Update</t>
        </is>
      </c>
    </row>
    <row r="7">
      <c r="A7" s="6" t="inlineStr">
        <is>
          <t xml:space="preserve">  Less: Remaining Capex</t>
        </is>
      </c>
      <c r="B7" s="6" t="inlineStr"/>
      <c r="C7" s="53" t="n">
        <v>-600</v>
      </c>
      <c r="D7" s="10" t="inlineStr">
        <is>
          <t>Source: Company estimate</t>
        </is>
      </c>
    </row>
    <row r="8">
      <c r="A8" s="5" t="inlineStr">
        <is>
          <t xml:space="preserve">  Net Phoenix Value</t>
        </is>
      </c>
      <c r="B8" s="6" t="inlineStr"/>
      <c r="C8" s="47">
        <f>C6+C7</f>
        <v/>
      </c>
      <c r="D8" s="10" t="inlineStr"/>
    </row>
    <row r="9">
      <c r="A9" s="6" t="inlineStr">
        <is>
          <t>Gryphon Deposit</t>
        </is>
      </c>
      <c r="B9" s="6" t="inlineStr">
        <is>
          <t>95%</t>
        </is>
      </c>
      <c r="C9" s="53" t="n">
        <v>800</v>
      </c>
      <c r="D9" s="10" t="inlineStr">
        <is>
          <t>Pre-feasibility estimate</t>
        </is>
      </c>
    </row>
    <row r="10">
      <c r="A10" s="6" t="inlineStr">
        <is>
          <t>McClean Lake Mill (22.5%)</t>
        </is>
      </c>
      <c r="B10" s="6" t="inlineStr">
        <is>
          <t>22.5%</t>
        </is>
      </c>
      <c r="C10" s="53" t="n">
        <v>350</v>
      </c>
      <c r="D10" s="10" t="inlineStr">
        <is>
          <t>Based on replacement cost</t>
        </is>
      </c>
    </row>
    <row r="11">
      <c r="A11" s="6" t="inlineStr">
        <is>
          <t>Physical Uranium Holdings</t>
        </is>
      </c>
      <c r="B11" s="6" t="inlineStr">
        <is>
          <t>100%</t>
        </is>
      </c>
      <c r="C11" s="54">
        <f>1.2*85*1.36</f>
        <v/>
      </c>
      <c r="D11" s="10" t="inlineStr">
        <is>
          <t>1.2M lbs @ spot × FX</t>
        </is>
      </c>
    </row>
    <row r="12">
      <c r="A12" s="6" t="inlineStr">
        <is>
          <t>Cash &amp; Investments</t>
        </is>
      </c>
      <c r="B12" s="6" t="inlineStr">
        <is>
          <t>100%</t>
        </is>
      </c>
      <c r="C12" s="53" t="n">
        <v>267</v>
      </c>
      <c r="D12" s="10" t="inlineStr">
        <is>
          <t>Source: Balance Sheet</t>
        </is>
      </c>
    </row>
    <row r="13">
      <c r="A13" s="6" t="inlineStr">
        <is>
          <t>Other Mineral Properties</t>
        </is>
      </c>
      <c r="B13" s="6" t="inlineStr">
        <is>
          <t>100%</t>
        </is>
      </c>
      <c r="C13" s="53" t="n">
        <v>150</v>
      </c>
      <c r="D13" s="10" t="inlineStr">
        <is>
          <t>Exploration assets at book</t>
        </is>
      </c>
    </row>
    <row r="14">
      <c r="A14" s="6" t="inlineStr">
        <is>
          <t>Equity Investments (JCU etc.)</t>
        </is>
      </c>
      <c r="B14" s="6" t="inlineStr">
        <is>
          <t>100%</t>
        </is>
      </c>
      <c r="C14" s="53" t="n">
        <v>125</v>
      </c>
      <c r="D14" s="10" t="inlineStr">
        <is>
          <t>Source: Balance Sheet</t>
        </is>
      </c>
    </row>
    <row r="15">
      <c r="A15" s="6" t="inlineStr">
        <is>
          <t>Less: Convertible Notes</t>
        </is>
      </c>
      <c r="B15" s="6" t="inlineStr"/>
      <c r="C15" s="53" t="n">
        <v>-469</v>
      </c>
      <c r="D15" s="10" t="inlineStr">
        <is>
          <t>US$345M converted to CAD</t>
        </is>
      </c>
    </row>
    <row r="16">
      <c r="A16" s="6" t="inlineStr">
        <is>
          <t>Less: Reclamation Provisions</t>
        </is>
      </c>
      <c r="B16" s="6" t="inlineStr"/>
      <c r="C16" s="53" t="n">
        <v>-58</v>
      </c>
      <c r="D16" s="10" t="inlineStr">
        <is>
          <t>Source: Balance Sheet</t>
        </is>
      </c>
    </row>
    <row r="17">
      <c r="A17" s="6" t="inlineStr">
        <is>
          <t>Less: Other Net Liabilities</t>
        </is>
      </c>
      <c r="B17" s="6" t="inlineStr"/>
      <c r="C17" s="53" t="n">
        <v>-40</v>
      </c>
      <c r="D17" s="10" t="inlineStr">
        <is>
          <t>Source: Balance Sheet</t>
        </is>
      </c>
    </row>
    <row r="18">
      <c r="A18" s="25" t="inlineStr">
        <is>
          <t>TOTAL NAV (CAD $M)</t>
        </is>
      </c>
      <c r="B18" s="55" t="n"/>
      <c r="C18" s="56">
        <f>SUM(C8:C17)</f>
        <v/>
      </c>
      <c r="D18" s="55" t="n"/>
      <c r="I18" s="10" t="inlineStr">
        <is>
          <t>Formula: =SUM(all NAV components)</t>
        </is>
      </c>
    </row>
    <row r="19">
      <c r="A19" s="5" t="inlineStr">
        <is>
          <t>NAV per Share (CAD)</t>
        </is>
      </c>
      <c r="C19" s="57">
        <f>C18/('DCF Model'!B15)</f>
        <v/>
      </c>
      <c r="I19" s="10" t="inlineStr">
        <is>
          <t>Formula: =Total NAV / Shares Outstanding</t>
        </is>
      </c>
    </row>
    <row r="20">
      <c r="A20" s="5" t="inlineStr">
        <is>
          <t>NAV per Share (USD)</t>
        </is>
      </c>
      <c r="C20" s="57">
        <f>C19/'DCF Model'!B7</f>
        <v/>
      </c>
    </row>
    <row r="21">
      <c r="A21" s="5" t="inlineStr">
        <is>
          <t>Current Price / NAV (P/NAV)</t>
        </is>
      </c>
      <c r="C21" s="58">
        <f>3.33/C20</f>
        <v/>
      </c>
      <c r="I21" s="10" t="inlineStr">
        <is>
          <t>Formula: =Current USD Price / NAV per share USD</t>
        </is>
      </c>
    </row>
    <row r="23">
      <c r="A23" s="22" t="inlineStr">
        <is>
          <t>COMPARABLE COMPANY ANALYSIS</t>
        </is>
      </c>
      <c r="B23" s="22" t="n"/>
      <c r="C23" s="22" t="n"/>
      <c r="D23" s="22" t="n"/>
      <c r="E23" s="22" t="n"/>
      <c r="F23" s="22" t="n"/>
      <c r="G23" s="22" t="n"/>
      <c r="H23" s="22" t="n"/>
    </row>
    <row r="24">
      <c r="A24" s="4" t="inlineStr">
        <is>
          <t>Company</t>
        </is>
      </c>
      <c r="B24" s="4" t="inlineStr">
        <is>
          <t>Ticker</t>
        </is>
      </c>
      <c r="C24" s="4" t="inlineStr">
        <is>
          <t>Mkt Cap ($M)</t>
        </is>
      </c>
      <c r="D24" s="4" t="inlineStr">
        <is>
          <t>EV ($M)</t>
        </is>
      </c>
      <c r="E24" s="4" t="inlineStr">
        <is>
          <t>Revenue ($M)</t>
        </is>
      </c>
      <c r="F24" s="4" t="inlineStr">
        <is>
          <t>P/E</t>
        </is>
      </c>
      <c r="G24" s="4" t="inlineStr">
        <is>
          <t>EV/EBITDA</t>
        </is>
      </c>
      <c r="H24" s="4" t="inlineStr">
        <is>
          <t>P/Book</t>
        </is>
      </c>
    </row>
    <row r="25">
      <c r="A25" s="6" t="inlineStr">
        <is>
          <t>Cameco Corp</t>
        </is>
      </c>
      <c r="B25" s="6" t="inlineStr">
        <is>
          <t>CCJ</t>
        </is>
      </c>
      <c r="C25" s="53" t="n">
        <v>49160</v>
      </c>
      <c r="D25" s="53" t="n">
        <v>46350</v>
      </c>
      <c r="E25" s="53" t="n">
        <v>3480</v>
      </c>
      <c r="F25" s="59" t="n">
        <v>110</v>
      </c>
      <c r="G25" s="59" t="n">
        <v>52</v>
      </c>
      <c r="H25" s="59" t="n">
        <v>5.8</v>
      </c>
    </row>
    <row r="26">
      <c r="A26" s="6" t="inlineStr">
        <is>
          <t>Uranium Energy Corp</t>
        </is>
      </c>
      <c r="B26" s="6" t="inlineStr">
        <is>
          <t>UEC</t>
        </is>
      </c>
      <c r="C26" s="53" t="n">
        <v>5930</v>
      </c>
      <c r="D26" s="53" t="n">
        <v>3560</v>
      </c>
      <c r="E26" s="53" t="n">
        <v>81</v>
      </c>
      <c r="H26" s="59" t="n">
        <v>4.2</v>
      </c>
    </row>
    <row r="27">
      <c r="A27" s="6" t="inlineStr">
        <is>
          <t>NexGen Energy</t>
        </is>
      </c>
      <c r="B27" s="6" t="inlineStr">
        <is>
          <t>NXE</t>
        </is>
      </c>
      <c r="C27" s="53" t="n">
        <v>7750</v>
      </c>
      <c r="D27" s="53" t="n">
        <v>7960</v>
      </c>
      <c r="H27" s="59" t="n">
        <v>13.1</v>
      </c>
    </row>
    <row r="28">
      <c r="A28" s="6" t="inlineStr">
        <is>
          <t>Energy Fuels</t>
        </is>
      </c>
      <c r="B28" s="6" t="inlineStr">
        <is>
          <t>UUUU</t>
        </is>
      </c>
      <c r="C28" s="53" t="n">
        <v>3950</v>
      </c>
      <c r="D28" s="53" t="n">
        <v>4970</v>
      </c>
      <c r="E28" s="53" t="n">
        <v>113</v>
      </c>
      <c r="H28" s="59" t="n">
        <v>3.5</v>
      </c>
    </row>
    <row r="29">
      <c r="A29" s="6" t="inlineStr">
        <is>
          <t>Ur-Energy</t>
        </is>
      </c>
      <c r="B29" s="6" t="inlineStr">
        <is>
          <t>URG</t>
        </is>
      </c>
      <c r="C29" s="53" t="n">
        <v>613</v>
      </c>
      <c r="D29" s="53" t="n">
        <v>580</v>
      </c>
      <c r="E29" s="53" t="n">
        <v>39</v>
      </c>
      <c r="H29" s="59" t="n">
        <v>3.2</v>
      </c>
    </row>
    <row r="30">
      <c r="A30" s="60" t="inlineStr">
        <is>
          <t>Denison Mines</t>
        </is>
      </c>
      <c r="B30" s="60" t="inlineStr">
        <is>
          <t>DNN</t>
        </is>
      </c>
      <c r="C30" s="61" t="n">
        <v>3187</v>
      </c>
      <c r="D30" s="62">
        <f>C30+'DCF Model'!B54/'DCF Model'!B7-('DCF Model'!B51+'DCF Model'!B52+'DCF Model'!B53)/'DCF Model'!B7</f>
        <v/>
      </c>
      <c r="E30" s="63">
        <f>'Income Statement'!E10/'DCF Model'!B7</f>
        <v/>
      </c>
      <c r="F30" s="64" t="n"/>
      <c r="G30" s="64" t="n"/>
      <c r="H30" s="65">
        <f>C30/('Balance Sheet'!D49/'DCF Model'!B7)</f>
        <v/>
      </c>
    </row>
    <row r="31">
      <c r="A31" s="7" t="inlineStr">
        <is>
          <t>Peer Average (excl. DNN)</t>
        </is>
      </c>
      <c r="B31" s="66" t="n"/>
      <c r="C31" s="67">
        <f>AVERAGE(C25:C29)</f>
        <v/>
      </c>
      <c r="D31" s="67">
        <f>AVERAGE(D25:D29)</f>
        <v/>
      </c>
      <c r="E31" s="66" t="n"/>
      <c r="F31" s="66" t="n"/>
      <c r="G31" s="66" t="n"/>
      <c r="H31" s="68">
        <f>AVERAGE(H25:H29)</f>
        <v/>
      </c>
    </row>
    <row r="32">
      <c r="A32" s="5" t="inlineStr">
        <is>
          <t>Peer Median (excl. DNN)</t>
        </is>
      </c>
      <c r="C32" s="47">
        <f>MEDIAN(C25:C29)</f>
        <v/>
      </c>
      <c r="H32" s="69">
        <f>MEDIAN(H25:H29)</f>
        <v/>
      </c>
    </row>
    <row r="34">
      <c r="A34" s="22" t="inlineStr">
        <is>
          <t>P/NAV IMPLIED VALUATION</t>
        </is>
      </c>
      <c r="B34" s="22" t="n"/>
      <c r="C34" s="22" t="n"/>
      <c r="D34" s="22" t="n"/>
      <c r="E34" s="22" t="n"/>
      <c r="F34" s="22" t="n"/>
      <c r="G34" s="22" t="n"/>
      <c r="H34" s="22" t="n"/>
    </row>
    <row r="35">
      <c r="A35" s="4" t="inlineStr">
        <is>
          <t>Scenario</t>
        </is>
      </c>
      <c r="B35" s="4" t="inlineStr">
        <is>
          <t>P/NAV Multiple</t>
        </is>
      </c>
      <c r="C35" s="4" t="inlineStr">
        <is>
          <t>Implied Price (USD)</t>
        </is>
      </c>
      <c r="D35" s="4" t="inlineStr">
        <is>
          <t>Upside/Downside</t>
        </is>
      </c>
    </row>
    <row r="36">
      <c r="A36" s="6" t="inlineStr">
        <is>
          <t>Bear Case (0.7x NAV)</t>
        </is>
      </c>
      <c r="B36" s="59" t="n">
        <v>0.7</v>
      </c>
      <c r="C36" s="57">
        <f>B36*$C$20</f>
        <v/>
      </c>
      <c r="D36" s="23">
        <f>(C36-3.33)/3.33</f>
        <v/>
      </c>
      <c r="I36" s="10" t="inlineStr">
        <is>
          <t>Formula: =P/NAV × NAV/share; Upside = (Implied - Current) / Current</t>
        </is>
      </c>
    </row>
    <row r="37">
      <c r="A37" s="6" t="inlineStr">
        <is>
          <t>Base Case (1.0x NAV)</t>
        </is>
      </c>
      <c r="B37" s="59" t="n">
        <v>1</v>
      </c>
      <c r="C37" s="57">
        <f>B37*$C$20</f>
        <v/>
      </c>
      <c r="D37" s="23">
        <f>(C37-3.33)/3.33</f>
        <v/>
      </c>
      <c r="I37" s="70" t="inlineStr">
        <is>
          <t>Formula: =P/NAV × NAV/share; Upside = (Implied - Current) / Current</t>
        </is>
      </c>
    </row>
    <row r="38">
      <c r="A38" s="6" t="inlineStr">
        <is>
          <t>Bull Case (1.3x NAV)</t>
        </is>
      </c>
      <c r="B38" s="59" t="n">
        <v>1.3</v>
      </c>
      <c r="C38" s="57">
        <f>B38*$C$20</f>
        <v/>
      </c>
      <c r="D38" s="23">
        <f>(C38-3.33)/3.33</f>
        <v/>
      </c>
      <c r="I38" s="70" t="inlineStr">
        <is>
          <t>Formula: =P/NAV × NAV/share; Upside = (Implied - Current) / Current</t>
        </is>
      </c>
    </row>
    <row r="39">
      <c r="A39" s="6" t="inlineStr">
        <is>
          <t>Premium Case (1.5x NAV)</t>
        </is>
      </c>
      <c r="B39" s="59" t="n">
        <v>1.5</v>
      </c>
      <c r="C39" s="57">
        <f>B39*$C$20</f>
        <v/>
      </c>
      <c r="D39" s="23">
        <f>(C39-3.33)/3.33</f>
        <v/>
      </c>
      <c r="I39" s="70" t="inlineStr">
        <is>
          <t>Formula: =P/NAV × NAV/share; Upside = (Implied - Current) / Current</t>
        </is>
      </c>
    </row>
    <row r="41">
      <c r="A41" s="22" t="inlineStr">
        <is>
          <t>EV / RESOURCE (lbs U3O8) VALUATION</t>
        </is>
      </c>
      <c r="B41" s="22" t="n"/>
      <c r="C41" s="22" t="n"/>
      <c r="D41" s="22" t="n"/>
      <c r="E41" s="22" t="n"/>
      <c r="F41" s="22" t="n"/>
      <c r="G41" s="22" t="n"/>
      <c r="H41" s="22" t="n"/>
    </row>
    <row r="42">
      <c r="A42" s="4" t="inlineStr">
        <is>
          <t>Company</t>
        </is>
      </c>
      <c r="B42" s="4" t="inlineStr">
        <is>
          <t>EV ($M USD)</t>
        </is>
      </c>
      <c r="C42" s="4" t="inlineStr">
        <is>
          <t>Resources (M lbs)</t>
        </is>
      </c>
      <c r="D42" s="4" t="inlineStr">
        <is>
          <t>EV/lb</t>
        </is>
      </c>
    </row>
    <row r="43">
      <c r="A43" s="6" t="inlineStr">
        <is>
          <t>Cameco</t>
        </is>
      </c>
      <c r="B43" s="53" t="n">
        <v>46350</v>
      </c>
      <c r="C43" s="18" t="n">
        <v>455</v>
      </c>
      <c r="D43" s="30">
        <f>IF(C43=0,0,B43/C43)</f>
        <v/>
      </c>
    </row>
    <row r="44">
      <c r="A44" s="6" t="inlineStr">
        <is>
          <t>NexGen Energy</t>
        </is>
      </c>
      <c r="B44" s="53" t="n">
        <v>7960</v>
      </c>
      <c r="C44" s="18" t="n">
        <v>350</v>
      </c>
      <c r="D44" s="30">
        <f>IF(C44=0,0,B44/C44)</f>
        <v/>
      </c>
    </row>
    <row r="45">
      <c r="A45" s="6" t="inlineStr">
        <is>
          <t>Uranium Energy</t>
        </is>
      </c>
      <c r="B45" s="53" t="n">
        <v>3560</v>
      </c>
      <c r="C45" s="18" t="n">
        <v>200</v>
      </c>
      <c r="D45" s="30">
        <f>IF(C45=0,0,B45/C45)</f>
        <v/>
      </c>
    </row>
    <row r="46">
      <c r="A46" s="60" t="inlineStr">
        <is>
          <t>Denison Mines</t>
        </is>
      </c>
      <c r="B46" s="63">
        <f>D30</f>
        <v/>
      </c>
      <c r="C46" s="71" t="n">
        <v>106.4</v>
      </c>
      <c r="D46" s="72">
        <f>IF(C46=0,0,B46/C46)</f>
        <v/>
      </c>
    </row>
    <row r="47">
      <c r="A47" s="5" t="inlineStr">
        <is>
          <t>Peer Avg EV/lb (excl. DNN)</t>
        </is>
      </c>
      <c r="D47" s="57">
        <f>AVERAGE(D43:D45)</f>
        <v/>
      </c>
      <c r="I47" s="10" t="inlineStr">
        <is>
          <t>Formula: =EV / Total Resources (M lbs)</t>
        </is>
      </c>
    </row>
    <row r="48">
      <c r="A48" s="5" t="inlineStr">
        <is>
          <t>Implied DNN EV at Peer Avg (USD $M)</t>
        </is>
      </c>
      <c r="B48" s="47">
        <f>D47*C46</f>
        <v/>
      </c>
      <c r="I48" s="10" t="inlineStr">
        <is>
          <t>Formula: =Peer Avg EV/lb × DNN Resources</t>
        </is>
      </c>
    </row>
    <row r="49">
      <c r="A49" s="5" t="inlineStr">
        <is>
          <t>Implied Share Price (USD)</t>
        </is>
      </c>
      <c r="B49" s="57">
        <f>(B48+195+72+165-469-52)/'DCF Model'!B15</f>
        <v/>
      </c>
    </row>
    <row r="51">
      <c r="A51" s="22" t="inlineStr">
        <is>
          <t>VALUATION SUMMARY — IMPLIED SHARE PRICE (USD)</t>
        </is>
      </c>
      <c r="B51" s="22" t="n"/>
      <c r="C51" s="22" t="n"/>
      <c r="D51" s="22" t="n"/>
      <c r="E51" s="22" t="n"/>
      <c r="F51" s="22" t="n"/>
      <c r="G51" s="22" t="n"/>
      <c r="H51" s="22" t="n"/>
    </row>
    <row r="52">
      <c r="A52" s="4" t="inlineStr">
        <is>
          <t>Methodology</t>
        </is>
      </c>
      <c r="B52" s="4" t="inlineStr">
        <is>
          <t>Implied Price (USD)</t>
        </is>
      </c>
      <c r="C52" s="4" t="inlineStr">
        <is>
          <t>Upside / Downside</t>
        </is>
      </c>
      <c r="D52" s="4" t="inlineStr">
        <is>
          <t>Weight</t>
        </is>
      </c>
    </row>
    <row r="53">
      <c r="A53" s="6" t="inlineStr">
        <is>
          <t>DCF (5-Year)</t>
        </is>
      </c>
      <c r="B53" s="57">
        <f>'DCF Model'!B59</f>
        <v/>
      </c>
      <c r="C53" s="23">
        <f>(B53-3.33)/3.33</f>
        <v/>
      </c>
      <c r="D53" s="38" t="n">
        <v>0.3</v>
      </c>
    </row>
    <row r="54">
      <c r="A54" s="6" t="inlineStr">
        <is>
          <t>NAV (1.0x)</t>
        </is>
      </c>
      <c r="B54" s="57">
        <f>$C$20</f>
        <v/>
      </c>
      <c r="C54" s="23">
        <f>(B54-3.33)/3.33</f>
        <v/>
      </c>
      <c r="D54" s="38" t="n">
        <v>0.3</v>
      </c>
    </row>
    <row r="55">
      <c r="A55" s="6" t="inlineStr">
        <is>
          <t>P/NAV (Peer Avg, 1.1x)</t>
        </is>
      </c>
      <c r="B55" s="57">
        <f>$C$20*1.1</f>
        <v/>
      </c>
      <c r="C55" s="23">
        <f>(B55-3.33)/3.33</f>
        <v/>
      </c>
      <c r="D55" s="38" t="n">
        <v>0.15</v>
      </c>
    </row>
    <row r="56">
      <c r="A56" s="6" t="inlineStr">
        <is>
          <t>EV/Resource (Peer Avg)</t>
        </is>
      </c>
      <c r="B56" s="57">
        <f>B49</f>
        <v/>
      </c>
      <c r="C56" s="23">
        <f>(B56-3.33)/3.33</f>
        <v/>
      </c>
      <c r="D56" s="38" t="n">
        <v>0.15</v>
      </c>
    </row>
    <row r="57">
      <c r="A57" s="6" t="inlineStr">
        <is>
          <t>P/Book (Peer Median)</t>
        </is>
      </c>
      <c r="B57" s="57">
        <f>H32*('Balance Sheet'!D49/'DCF Model'!B7/'DCF Model'!B15/1000)</f>
        <v/>
      </c>
      <c r="C57" s="23">
        <f>(B57-3.33)/3.33</f>
        <v/>
      </c>
      <c r="D57" s="38" t="n">
        <v>0.1</v>
      </c>
    </row>
    <row r="58">
      <c r="A58" s="25" t="inlineStr">
        <is>
          <t>WEIGHTED AVERAGE TARGET PRICE</t>
        </is>
      </c>
      <c r="B58" s="73">
        <f>SUMPRODUCT(B53:B57,D53:D57)</f>
        <v/>
      </c>
      <c r="C58" s="74">
        <f>(B58-3.33)/3.33</f>
        <v/>
      </c>
      <c r="D58" s="55" t="n"/>
      <c r="I58" s="10" t="inlineStr">
        <is>
          <t>Formula: =SUMPRODUCT(Prices × Weights)</t>
        </is>
      </c>
    </row>
    <row r="59">
      <c r="A59" s="6" t="inlineStr">
        <is>
          <t>Current Share Price (USD)</t>
        </is>
      </c>
      <c r="B59" s="75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2026-03-23T20:20:27Z</dcterms:created>
  <dcterms:modified xmlns:dcterms="http://purl.org/dc/terms/" xmlns:xsi="http://www.w3.org/2001/XMLSchema-instance" xsi:type="dcterms:W3CDTF">2026-03-23T20:20:27Z</dcterms:modified>
</cp:coreProperties>
</file>