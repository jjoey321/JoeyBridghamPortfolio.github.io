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03"/>
  <workbookPr/>
  <xr:revisionPtr revIDLastSave="0" documentId="8_{DAA36F3C-E318-4959-875B-76F8DE1A6FBC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5" i="1" l="1"/>
  <c r="K20" i="1"/>
  <c r="C38" i="1"/>
  <c r="K28" i="1" l="1"/>
  <c r="K30" i="1" s="1"/>
</calcChain>
</file>

<file path=xl/sharedStrings.xml><?xml version="1.0" encoding="utf-8"?>
<sst xmlns="http://schemas.openxmlformats.org/spreadsheetml/2006/main" count="41" uniqueCount="38">
  <si>
    <t>BX</t>
  </si>
  <si>
    <t>Blackstone</t>
  </si>
  <si>
    <t xml:space="preserve">WACC equation: </t>
  </si>
  <si>
    <t>WACC = (E/D+E)Re + (D/D+E)Rd(1-T)</t>
  </si>
  <si>
    <t>Variables:</t>
  </si>
  <si>
    <t>E = market Value of Equity</t>
  </si>
  <si>
    <t>D= Market value of Debt</t>
  </si>
  <si>
    <t>Re = Cost of equity</t>
  </si>
  <si>
    <t>Rd = Pre-tax cost of debt</t>
  </si>
  <si>
    <t>T = Corporate tax rate</t>
  </si>
  <si>
    <t xml:space="preserve">To get the cost of equity, I will use the CAPM struture </t>
  </si>
  <si>
    <t>To get after tax cost of debt:</t>
  </si>
  <si>
    <t>CAPM = Re = Rf + b(Rm - Rf)</t>
  </si>
  <si>
    <t>I will pick a representative bond that is mid maturity</t>
  </si>
  <si>
    <t>YTM=</t>
  </si>
  <si>
    <t>Finra Bond</t>
  </si>
  <si>
    <t>Rd(1-T)=</t>
  </si>
  <si>
    <t>Re = Required return on equity</t>
  </si>
  <si>
    <t>Rf = Risk free rate</t>
  </si>
  <si>
    <t>B = Beta of the stock</t>
  </si>
  <si>
    <t>Rm = Expected market return</t>
  </si>
  <si>
    <t>To find the Risk free rate, I will grab the recent 3-month tbill rate</t>
  </si>
  <si>
    <t>T-bill rate from CNBC</t>
  </si>
  <si>
    <t xml:space="preserve">The WACC is: </t>
  </si>
  <si>
    <t>To find Beta, I went to Yahoo Finance</t>
  </si>
  <si>
    <t xml:space="preserve">The Weighted average cost of captial is: </t>
  </si>
  <si>
    <t>link</t>
  </si>
  <si>
    <t>The Dow Jones Industrial Average from the past 20 years:</t>
  </si>
  <si>
    <t>(Using for the Expected market return)</t>
  </si>
  <si>
    <t xml:space="preserve">    </t>
  </si>
  <si>
    <t>For (Rm-Rf)</t>
  </si>
  <si>
    <t>CAPM =</t>
  </si>
  <si>
    <t>(Cost of Equity)</t>
  </si>
  <si>
    <t xml:space="preserve"> </t>
  </si>
  <si>
    <t>For the Corporate tax rate, I will assume 21.2%</t>
  </si>
  <si>
    <t>For the market value of equity, it is the Market Cap of BX</t>
  </si>
  <si>
    <t>Yahoo Finance</t>
  </si>
  <si>
    <t>For the Market value of Debt, I pulled the total debt from Yahoo Finance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</si>
</sst>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2"/>
      <color theme="1"/>
      <name val="Times New Roman"/>
    </font>
    <font>
      <u/>
      <sz val="12"/>
      <color theme="10"/>
      <name val="Times New Roman"/>
    </font>
    <font>
      <sz val="11"/>
      <color rgb="FF000000"/>
      <name val="Aptos Narrow"/>
      <scheme val="minor"/>
    </font>
    <font>
      <sz val="12"/>
      <color rgb="FF000000"/>
      <name val="Times New Roman"/>
    </font>
    <font>
      <u/>
      <sz val="11"/>
      <color rgb="FF00000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7">
    <xf numFmtId="0" fontId="0" fillId="0" borderId="0" xfId="0"/>
    <xf numFmtId="0" fontId="2" fillId="0" borderId="0" xfId="0" applyFont="1"/>
    <xf numFmtId="0" fontId="2" fillId="2" borderId="0" xfId="0" applyFont="1" applyFill="1"/>
    <xf numFmtId="2" fontId="2" fillId="2" borderId="0" xfId="0" applyNumberFormat="1" applyFont="1" applyFill="1"/>
    <xf numFmtId="0" fontId="3" fillId="2" borderId="0" xfId="1" applyFont="1" applyFill="1"/>
    <xf numFmtId="10" fontId="2" fillId="2" borderId="0" xfId="0" applyNumberFormat="1" applyFont="1" applyFill="1"/>
    <xf numFmtId="0" fontId="5" fillId="3" borderId="0" xfId="0" applyFont="1" applyFill="1"/>
    <xf numFmtId="10" fontId="4" fillId="3" borderId="0" xfId="1" applyNumberFormat="1" applyFont="1" applyFill="1"/>
    <xf numFmtId="0" fontId="6" fillId="3" borderId="0" xfId="1" applyFont="1" applyFill="1"/>
    <xf numFmtId="10" fontId="5" fillId="3" borderId="0" xfId="0" applyNumberFormat="1" applyFont="1" applyFill="1"/>
    <xf numFmtId="0" fontId="2" fillId="4" borderId="0" xfId="0" applyFont="1" applyFill="1"/>
    <xf numFmtId="9" fontId="2" fillId="4" borderId="0" xfId="0" applyNumberFormat="1" applyFont="1" applyFill="1"/>
    <xf numFmtId="3" fontId="2" fillId="4" borderId="0" xfId="0" applyNumberFormat="1" applyFont="1" applyFill="1"/>
    <xf numFmtId="0" fontId="1" fillId="4" borderId="0" xfId="1" applyFill="1"/>
    <xf numFmtId="0" fontId="2" fillId="5" borderId="0" xfId="0" applyFont="1" applyFill="1"/>
    <xf numFmtId="10" fontId="2" fillId="5" borderId="0" xfId="0" applyNumberFormat="1" applyFont="1" applyFill="1"/>
    <xf numFmtId="0" fontId="2" fillId="6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finance.yahoo.com/quote/BX/?guccounter=1&amp;guce_referrer=aHR0cHM6Ly93d3cuZ29vZ2xlLmNvbS8&amp;guce_referrer_sig=AQAAAJLwhkZtDemPL70f11e3XiT2OkwsIe85Ji0zyDMJgn1_ZteyiwoXCcT_WBjzQZ08kUQ6hAVtMHQMdhVeJf9D08e4DwQXWM7OXCorofc8oUgG2XAXQTtomI3FBdkvBpcT00tv0DvSJkn7hMgA2tDHUK888RpklHlXvE-0d1APWopr" TargetMode="External"/><Relationship Id="rId2" Type="http://schemas.openxmlformats.org/officeDocument/2006/relationships/hyperlink" Target="https://finance.yahoo.com/quote/BX/?guccounter=1&amp;guce_referrer=aHR0cHM6Ly93d3cuZ29vZ2xlLmNvbS8&amp;guce_referrer_sig=AQAAAJLwhkZtDemPL70f11e3XiT2OkwsIe85Ji0zyDMJgn1_ZteyiwoXCcT_WBjzQZ08kUQ6hAVtMHQMdhVeJf9D08e4DwQXWM7OXCorofc8oUgG2XAXQTtomI3FBdkvBpcT00tv0DvSJkn7hMgA2tDHUK888RpklHlXvE-0d1APWopr" TargetMode="External"/><Relationship Id="rId1" Type="http://schemas.openxmlformats.org/officeDocument/2006/relationships/hyperlink" Target="https://www.cnbc.com/quotes/US3M" TargetMode="External"/><Relationship Id="rId5" Type="http://schemas.openxmlformats.org/officeDocument/2006/relationships/hyperlink" Target="https://www.finra.org/finra-data/fixed-income/bond?symbol=BX5231867&amp;bondType=CORP" TargetMode="External"/><Relationship Id="rId4" Type="http://schemas.openxmlformats.org/officeDocument/2006/relationships/hyperlink" Target="https://finance.yahoo.com/quote/BX/key-statistic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T50"/>
  <sheetViews>
    <sheetView tabSelected="1" topLeftCell="A23" workbookViewId="0">
      <selection activeCell="B28" sqref="B28"/>
    </sheetView>
  </sheetViews>
  <sheetFormatPr defaultRowHeight="15"/>
  <cols>
    <col min="2" max="2" width="16.7109375" bestFit="1" customWidth="1"/>
    <col min="11" max="11" width="10.85546875" customWidth="1"/>
  </cols>
  <sheetData>
    <row r="3" spans="1:20" ht="15.75">
      <c r="A3" s="1"/>
      <c r="B3" s="16" t="s">
        <v>0</v>
      </c>
      <c r="C3" s="16" t="s">
        <v>1</v>
      </c>
      <c r="D3" s="16"/>
      <c r="E3" s="16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ht="15.75">
      <c r="A4" s="1"/>
      <c r="B4" s="16"/>
      <c r="C4" s="16"/>
      <c r="D4" s="16"/>
      <c r="E4" s="16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ht="15.75">
      <c r="A5" s="1"/>
      <c r="B5" s="16" t="s">
        <v>2</v>
      </c>
      <c r="C5" s="16"/>
      <c r="D5" s="16"/>
      <c r="E5" s="16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 ht="15.75">
      <c r="A6" s="1"/>
      <c r="B6" s="16" t="s">
        <v>3</v>
      </c>
      <c r="C6" s="16"/>
      <c r="D6" s="16"/>
      <c r="E6" s="16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 ht="15.75">
      <c r="A7" s="1"/>
      <c r="B7" s="16"/>
      <c r="C7" s="16"/>
      <c r="D7" s="16"/>
      <c r="E7" s="16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 ht="15.75">
      <c r="A8" s="1"/>
      <c r="B8" s="16" t="s">
        <v>4</v>
      </c>
      <c r="C8" s="16"/>
      <c r="D8" s="16"/>
      <c r="E8" s="16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 ht="15.75">
      <c r="A9" s="1"/>
      <c r="B9" s="16" t="s">
        <v>5</v>
      </c>
      <c r="C9" s="16"/>
      <c r="D9" s="16"/>
      <c r="E9" s="16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 ht="15.75">
      <c r="A10" s="1"/>
      <c r="B10" s="16" t="s">
        <v>6</v>
      </c>
      <c r="C10" s="16"/>
      <c r="D10" s="16"/>
      <c r="E10" s="16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 ht="15.75">
      <c r="A11" s="1"/>
      <c r="B11" s="16" t="s">
        <v>7</v>
      </c>
      <c r="C11" s="16"/>
      <c r="D11" s="16"/>
      <c r="E11" s="16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1:20" ht="15.75">
      <c r="A12" s="1"/>
      <c r="B12" s="16" t="s">
        <v>8</v>
      </c>
      <c r="C12" s="16"/>
      <c r="D12" s="16"/>
      <c r="E12" s="16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</row>
    <row r="13" spans="1:20" ht="15.75">
      <c r="A13" s="1"/>
      <c r="B13" s="16" t="s">
        <v>9</v>
      </c>
      <c r="C13" s="16"/>
      <c r="D13" s="16"/>
      <c r="E13" s="16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</row>
    <row r="14" spans="1:20" ht="15.7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</row>
    <row r="15" spans="1:20" ht="15.7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</row>
    <row r="16" spans="1:20" ht="15.7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</row>
    <row r="17" spans="1:20" ht="15.75">
      <c r="A17" s="1"/>
      <c r="B17" s="2" t="s">
        <v>10</v>
      </c>
      <c r="C17" s="2"/>
      <c r="D17" s="2"/>
      <c r="E17" s="2"/>
      <c r="F17" s="2"/>
      <c r="G17" s="2"/>
      <c r="H17" s="2"/>
      <c r="I17" s="1"/>
      <c r="J17" s="6" t="s">
        <v>11</v>
      </c>
      <c r="K17" s="6"/>
      <c r="L17" s="6"/>
      <c r="M17" s="6"/>
      <c r="N17" s="6"/>
      <c r="O17" s="6"/>
      <c r="P17" s="1"/>
      <c r="Q17" s="1"/>
      <c r="R17" s="1"/>
      <c r="S17" s="1"/>
      <c r="T17" s="1"/>
    </row>
    <row r="18" spans="1:20" ht="15.75">
      <c r="A18" s="1"/>
      <c r="B18" s="2" t="s">
        <v>12</v>
      </c>
      <c r="C18" s="2"/>
      <c r="D18" s="2"/>
      <c r="E18" s="2"/>
      <c r="F18" s="2"/>
      <c r="G18" s="2"/>
      <c r="H18" s="2"/>
      <c r="I18" s="1"/>
      <c r="J18" s="6" t="s">
        <v>13</v>
      </c>
      <c r="K18" s="6"/>
      <c r="L18" s="6"/>
      <c r="M18" s="6"/>
      <c r="N18" s="6"/>
      <c r="O18" s="6"/>
      <c r="P18" s="1"/>
      <c r="Q18" s="1"/>
      <c r="R18" s="1"/>
      <c r="S18" s="1"/>
      <c r="T18" s="1"/>
    </row>
    <row r="19" spans="1:20" ht="15.75">
      <c r="A19" s="1"/>
      <c r="B19" s="2"/>
      <c r="C19" s="2"/>
      <c r="D19" s="2"/>
      <c r="E19" s="2"/>
      <c r="F19" s="2"/>
      <c r="G19" s="2"/>
      <c r="H19" s="2"/>
      <c r="I19" s="1"/>
      <c r="J19" s="6" t="s">
        <v>14</v>
      </c>
      <c r="K19" s="7">
        <v>4.7199999999999999E-2</v>
      </c>
      <c r="L19" s="8" t="s">
        <v>15</v>
      </c>
      <c r="M19" s="6"/>
      <c r="N19" s="6"/>
      <c r="O19" s="6"/>
      <c r="P19" s="1"/>
      <c r="Q19" s="1"/>
      <c r="R19" s="1"/>
      <c r="S19" s="1"/>
      <c r="T19" s="1"/>
    </row>
    <row r="20" spans="1:20" ht="15.75">
      <c r="A20" s="1"/>
      <c r="B20" s="2" t="s">
        <v>4</v>
      </c>
      <c r="C20" s="2"/>
      <c r="D20" s="2"/>
      <c r="E20" s="2"/>
      <c r="F20" s="2"/>
      <c r="G20" s="2"/>
      <c r="H20" s="2"/>
      <c r="I20" s="1"/>
      <c r="J20" s="6" t="s">
        <v>16</v>
      </c>
      <c r="K20" s="9">
        <f>K19*(1-B41)</f>
        <v>3.7288000000000002E-2</v>
      </c>
      <c r="L20" s="6"/>
      <c r="M20" s="6"/>
      <c r="N20" s="6"/>
      <c r="O20" s="6"/>
      <c r="P20" s="1"/>
      <c r="Q20" s="1"/>
      <c r="R20" s="1"/>
      <c r="S20" s="1"/>
      <c r="T20" s="1"/>
    </row>
    <row r="21" spans="1:20" ht="15.75">
      <c r="A21" s="1"/>
      <c r="B21" s="2" t="s">
        <v>17</v>
      </c>
      <c r="C21" s="2"/>
      <c r="D21" s="2"/>
      <c r="E21" s="2"/>
      <c r="F21" s="2"/>
      <c r="G21" s="2"/>
      <c r="H21" s="2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</row>
    <row r="22" spans="1:20" ht="15.75">
      <c r="A22" s="1"/>
      <c r="B22" s="2" t="s">
        <v>18</v>
      </c>
      <c r="C22" s="2"/>
      <c r="D22" s="2"/>
      <c r="E22" s="2"/>
      <c r="F22" s="2"/>
      <c r="G22" s="2"/>
      <c r="H22" s="2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</row>
    <row r="23" spans="1:20" ht="15.75">
      <c r="A23" s="1"/>
      <c r="B23" s="2" t="s">
        <v>19</v>
      </c>
      <c r="C23" s="2"/>
      <c r="D23" s="2"/>
      <c r="E23" s="2"/>
      <c r="F23" s="2"/>
      <c r="G23" s="2"/>
      <c r="H23" s="2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</row>
    <row r="24" spans="1:20" ht="15.75">
      <c r="A24" s="1"/>
      <c r="B24" s="2" t="s">
        <v>20</v>
      </c>
      <c r="C24" s="2"/>
      <c r="D24" s="2"/>
      <c r="E24" s="2"/>
      <c r="F24" s="2"/>
      <c r="G24" s="2"/>
      <c r="H24" s="2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</row>
    <row r="25" spans="1:20" ht="15.75">
      <c r="A25" s="1"/>
      <c r="B25" s="2"/>
      <c r="C25" s="2"/>
      <c r="D25" s="2"/>
      <c r="E25" s="2"/>
      <c r="F25" s="2"/>
      <c r="G25" s="2"/>
      <c r="H25" s="2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</row>
    <row r="26" spans="1:20" ht="15.75">
      <c r="A26" s="1"/>
      <c r="B26" s="2" t="s">
        <v>21</v>
      </c>
      <c r="C26" s="2"/>
      <c r="D26" s="2"/>
      <c r="E26" s="2"/>
      <c r="F26" s="2"/>
      <c r="G26" s="2"/>
      <c r="H26" s="2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</row>
    <row r="27" spans="1:20" ht="15.75">
      <c r="A27" s="1"/>
      <c r="B27" s="3">
        <v>3.9399999999999998E-2</v>
      </c>
      <c r="C27" s="4" t="s">
        <v>22</v>
      </c>
      <c r="D27" s="2"/>
      <c r="E27" s="2"/>
      <c r="F27" s="2"/>
      <c r="G27" s="2"/>
      <c r="H27" s="2"/>
      <c r="I27" s="1"/>
      <c r="J27" s="14" t="s">
        <v>23</v>
      </c>
      <c r="K27" s="14"/>
      <c r="L27" s="14"/>
      <c r="M27" s="14"/>
      <c r="N27" s="14"/>
      <c r="O27" s="1"/>
      <c r="P27" s="1"/>
      <c r="Q27" s="1"/>
      <c r="R27" s="1"/>
      <c r="S27" s="1"/>
      <c r="T27" s="1"/>
    </row>
    <row r="28" spans="1:20" ht="15.75">
      <c r="A28" s="1"/>
      <c r="B28" s="2"/>
      <c r="C28" s="2"/>
      <c r="D28" s="2"/>
      <c r="E28" s="2"/>
      <c r="F28" s="2"/>
      <c r="G28" s="2"/>
      <c r="H28" s="2"/>
      <c r="I28" s="1"/>
      <c r="J28" s="14"/>
      <c r="K28" s="14">
        <f>(B44/(B47+B44))*C38+(B47/(B47+B44))*K20</f>
        <v>8.7460693438716833E-2</v>
      </c>
      <c r="L28" s="14"/>
      <c r="M28" s="14"/>
      <c r="N28" s="14"/>
      <c r="O28" s="1"/>
      <c r="P28" s="1"/>
      <c r="Q28" s="1"/>
      <c r="R28" s="1"/>
      <c r="S28" s="1"/>
      <c r="T28" s="1"/>
    </row>
    <row r="29" spans="1:20" ht="15.75">
      <c r="A29" s="1"/>
      <c r="B29" s="2" t="s">
        <v>24</v>
      </c>
      <c r="C29" s="2"/>
      <c r="D29" s="2"/>
      <c r="E29" s="2"/>
      <c r="F29" s="2"/>
      <c r="G29" s="2"/>
      <c r="H29" s="2"/>
      <c r="I29" s="1"/>
      <c r="J29" s="14" t="s">
        <v>25</v>
      </c>
      <c r="K29" s="14"/>
      <c r="L29" s="14"/>
      <c r="M29" s="14"/>
      <c r="N29" s="14"/>
      <c r="O29" s="1"/>
      <c r="P29" s="1"/>
      <c r="Q29" s="1"/>
      <c r="R29" s="1"/>
      <c r="S29" s="1"/>
      <c r="T29" s="1"/>
    </row>
    <row r="30" spans="1:20" ht="15.75">
      <c r="A30" s="1"/>
      <c r="B30" s="3">
        <v>1.76</v>
      </c>
      <c r="C30" s="4" t="s">
        <v>26</v>
      </c>
      <c r="D30" s="2"/>
      <c r="E30" s="2"/>
      <c r="F30" s="2"/>
      <c r="G30" s="2"/>
      <c r="H30" s="2"/>
      <c r="I30" s="1"/>
      <c r="J30" s="14"/>
      <c r="K30" s="15">
        <f>K28</f>
        <v>8.7460693438716833E-2</v>
      </c>
      <c r="L30" s="14"/>
      <c r="M30" s="14"/>
      <c r="N30" s="14"/>
      <c r="O30" s="1"/>
      <c r="P30" s="1"/>
      <c r="Q30" s="1"/>
      <c r="R30" s="1"/>
      <c r="S30" s="1"/>
      <c r="T30" s="1"/>
    </row>
    <row r="31" spans="1:20" ht="15.75">
      <c r="A31" s="1"/>
      <c r="B31" s="2"/>
      <c r="C31" s="2"/>
      <c r="D31" s="2"/>
      <c r="E31" s="2"/>
      <c r="F31" s="2"/>
      <c r="G31" s="2"/>
      <c r="H31" s="2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</row>
    <row r="32" spans="1:20" ht="15.75">
      <c r="A32" s="1"/>
      <c r="B32" s="2" t="s">
        <v>27</v>
      </c>
      <c r="C32" s="2"/>
      <c r="D32" s="2"/>
      <c r="E32" s="2"/>
      <c r="F32" s="2"/>
      <c r="G32" s="2"/>
      <c r="H32" s="2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</row>
    <row r="33" spans="1:20" ht="15.75">
      <c r="A33" s="1"/>
      <c r="B33" s="3">
        <v>6.9000000000000006E-2</v>
      </c>
      <c r="C33" s="2" t="s">
        <v>28</v>
      </c>
      <c r="D33" s="2"/>
      <c r="E33" s="2"/>
      <c r="F33" s="2"/>
      <c r="G33" s="2"/>
      <c r="H33" s="2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</row>
    <row r="34" spans="1:20" ht="15.75">
      <c r="A34" s="1"/>
      <c r="B34" s="2" t="s">
        <v>29</v>
      </c>
      <c r="C34" s="2"/>
      <c r="D34" s="2"/>
      <c r="E34" s="2"/>
      <c r="F34" s="2"/>
      <c r="G34" s="2"/>
      <c r="H34" s="2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</row>
    <row r="35" spans="1:20" ht="15.75">
      <c r="A35" s="1"/>
      <c r="B35" s="2" t="s">
        <v>30</v>
      </c>
      <c r="C35" s="3">
        <f>B33-B27</f>
        <v>2.9600000000000008E-2</v>
      </c>
      <c r="D35" s="2"/>
      <c r="E35" s="2"/>
      <c r="F35" s="2"/>
      <c r="G35" s="2"/>
      <c r="H35" s="2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</row>
    <row r="36" spans="1:20" ht="15.75">
      <c r="A36" s="1"/>
      <c r="B36" s="2"/>
      <c r="C36" s="2"/>
      <c r="D36" s="2"/>
      <c r="E36" s="2"/>
      <c r="F36" s="2"/>
      <c r="G36" s="2"/>
      <c r="H36" s="2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</row>
    <row r="37" spans="1:20" ht="15.75">
      <c r="A37" s="1"/>
      <c r="B37" s="2" t="s">
        <v>12</v>
      </c>
      <c r="C37" s="2"/>
      <c r="D37" s="2"/>
      <c r="E37" s="2"/>
      <c r="F37" s="2"/>
      <c r="G37" s="2"/>
      <c r="H37" s="2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</row>
    <row r="38" spans="1:20" ht="15.75">
      <c r="A38" s="1"/>
      <c r="B38" s="2" t="s">
        <v>31</v>
      </c>
      <c r="C38" s="5">
        <f>(B27)+(B30*C35)</f>
        <v>9.1496000000000022E-2</v>
      </c>
      <c r="D38" s="2" t="s">
        <v>32</v>
      </c>
      <c r="E38" s="2"/>
      <c r="F38" s="2"/>
      <c r="G38" s="2"/>
      <c r="H38" s="2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</row>
    <row r="39" spans="1:20" ht="15.75">
      <c r="A39" s="1"/>
      <c r="B39" s="1"/>
      <c r="C39" s="1"/>
      <c r="D39" s="1"/>
      <c r="E39" s="1"/>
      <c r="F39" s="1"/>
      <c r="G39" s="1"/>
      <c r="H39" s="1"/>
      <c r="I39" s="1"/>
      <c r="J39" s="1" t="s">
        <v>33</v>
      </c>
      <c r="K39" s="1"/>
      <c r="L39" s="1"/>
      <c r="M39" s="1"/>
      <c r="N39" s="1"/>
      <c r="O39" s="1"/>
      <c r="P39" s="1"/>
      <c r="Q39" s="1"/>
      <c r="R39" s="1"/>
      <c r="S39" s="1"/>
      <c r="T39" s="1"/>
    </row>
    <row r="40" spans="1:20" ht="15.75">
      <c r="A40" s="1"/>
      <c r="B40" s="10" t="s">
        <v>34</v>
      </c>
      <c r="C40" s="10"/>
      <c r="D40" s="10"/>
      <c r="E40" s="10"/>
      <c r="F40" s="10"/>
      <c r="G40" s="10"/>
      <c r="H40" s="10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</row>
    <row r="41" spans="1:20" ht="15.75">
      <c r="A41" s="1"/>
      <c r="B41" s="11">
        <v>0.21</v>
      </c>
      <c r="C41" s="10"/>
      <c r="D41" s="10"/>
      <c r="E41" s="10"/>
      <c r="F41" s="10"/>
      <c r="G41" s="10"/>
      <c r="H41" s="10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</row>
    <row r="42" spans="1:20" ht="15.75">
      <c r="A42" s="1"/>
      <c r="B42" s="10"/>
      <c r="C42" s="10"/>
      <c r="D42" s="10"/>
      <c r="E42" s="10"/>
      <c r="F42" s="10"/>
      <c r="G42" s="10"/>
      <c r="H42" s="10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</row>
    <row r="43" spans="1:20" ht="15.75">
      <c r="A43" s="1"/>
      <c r="B43" s="10" t="s">
        <v>35</v>
      </c>
      <c r="C43" s="10"/>
      <c r="D43" s="10"/>
      <c r="E43" s="10"/>
      <c r="F43" s="10"/>
      <c r="G43" s="10"/>
      <c r="H43" s="10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</row>
    <row r="44" spans="1:20" ht="15.75">
      <c r="A44" s="1"/>
      <c r="B44" s="12">
        <v>175187000000</v>
      </c>
      <c r="C44" s="13" t="s">
        <v>36</v>
      </c>
      <c r="D44" s="10"/>
      <c r="E44" s="10"/>
      <c r="F44" s="10"/>
      <c r="G44" s="10"/>
      <c r="H44" s="10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</row>
    <row r="45" spans="1:20" ht="15.75">
      <c r="A45" s="1"/>
      <c r="B45" s="10"/>
      <c r="C45" s="10"/>
      <c r="D45" s="10"/>
      <c r="E45" s="10"/>
      <c r="F45" s="10"/>
      <c r="G45" s="10"/>
      <c r="H45" s="10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</row>
    <row r="46" spans="1:20" ht="15.75">
      <c r="A46" s="1"/>
      <c r="B46" s="10" t="s">
        <v>37</v>
      </c>
      <c r="C46" s="10"/>
      <c r="D46" s="10"/>
      <c r="E46" s="10"/>
      <c r="F46" s="10"/>
      <c r="G46" s="10"/>
      <c r="H46" s="10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</row>
    <row r="47" spans="1:20" ht="15.75">
      <c r="A47" s="1"/>
      <c r="B47" s="12">
        <v>14090000000</v>
      </c>
      <c r="C47" s="13" t="s">
        <v>36</v>
      </c>
      <c r="D47" s="10"/>
      <c r="E47" s="10"/>
      <c r="F47" s="10"/>
      <c r="G47" s="10"/>
      <c r="H47" s="10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</row>
    <row r="48" spans="1:20" ht="15.7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</row>
    <row r="49" spans="1:20" ht="15.7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</row>
    <row r="50" spans="1:20" ht="15.7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</row>
  </sheetData>
  <hyperlinks>
    <hyperlink ref="C27" r:id="rId1" xr:uid="{43FF0F52-3F10-4033-A776-52CDE199F01F}"/>
    <hyperlink ref="C30" r:id="rId2" xr:uid="{7191D6FE-B574-4DBE-B685-065EA285682C}"/>
    <hyperlink ref="C44" r:id="rId3" xr:uid="{BB40B628-2054-44DA-9AEC-ED8E2781D0A7}"/>
    <hyperlink ref="C47" r:id="rId4" xr:uid="{B1BD9659-AD47-4F87-8A99-44770317D499}"/>
    <hyperlink ref="L19" r:id="rId5" xr:uid="{B3A07F92-DC64-467F-B291-59B9518871D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2025-11-21T19:36:19Z</dcterms:created>
  <dcterms:modified xsi:type="dcterms:W3CDTF">2026-06-12T20:23:01Z</dcterms:modified>
  <cp:category/>
  <cp:contentStatus/>
</cp:coreProperties>
</file>