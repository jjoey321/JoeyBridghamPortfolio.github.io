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6.xml" ContentType="application/vnd.openxmlformats-officedocument.spreadsheetml.comment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24226"/>
  <mc:AlternateContent xmlns:mc="http://schemas.openxmlformats.org/markup-compatibility/2006">
    <mc:Choice Requires="x15">
      <x15ac:absPath xmlns:x15ac="http://schemas.microsoft.com/office/spreadsheetml/2010/11/ac" url="https://uncw4-my.sharepoint.com/personal/jaa9436_uncw_edu/Documents/"/>
    </mc:Choice>
  </mc:AlternateContent>
  <xr:revisionPtr revIDLastSave="0" documentId="8_{D77E1E5C-11FE-40A6-A626-14CFC0AE1D0D}" xr6:coauthVersionLast="47" xr6:coauthVersionMax="47" xr10:uidLastSave="{00000000-0000-0000-0000-000000000000}"/>
  <bookViews>
    <workbookView xWindow="360" yWindow="660" windowWidth="29400" windowHeight="17360" firstSheet="27" activeTab="27" xr2:uid="{00000000-000D-0000-FFFF-FFFF00000000}"/>
  </bookViews>
  <sheets>
    <sheet name="Team Info" sheetId="1" r:id="rId1"/>
    <sheet name="D1_Balance Sheet" sheetId="2" r:id="rId2"/>
    <sheet name="D2_BalanceSheetCommonSize" sheetId="4" r:id="rId3"/>
    <sheet name="D2_Fig_BSCommonGraph" sheetId="3" r:id="rId4"/>
    <sheet name="D2_Liquidity-NWCandNOWC" sheetId="5" r:id="rId5"/>
    <sheet name="D3_BalSheetHorizontalAnalysis" sheetId="6" r:id="rId6"/>
    <sheet name="D3_Analysis of Balance Sheet" sheetId="7" r:id="rId7"/>
    <sheet name="D1-4-Place Figures Here" sheetId="8" r:id="rId8"/>
    <sheet name="D1_IncomeStatment" sheetId="9" r:id="rId9"/>
    <sheet name="D2_IncomeStatmentCommonSize" sheetId="10" r:id="rId10"/>
    <sheet name="D2_IncomeStateGraph" sheetId="33" r:id="rId11"/>
    <sheet name="D3_Fig_Rev_OpInc_NetInc" sheetId="11" r:id="rId12"/>
    <sheet name="D3_Analysis of Income Statment" sheetId="13" r:id="rId13"/>
    <sheet name="D3_ISHorizontalAnalysis" sheetId="12" r:id="rId14"/>
    <sheet name="D1_Statement Of Comp. Income" sheetId="14" r:id="rId15"/>
    <sheet name="D1_StatmentofCFs" sheetId="15" r:id="rId16"/>
    <sheet name="D2_Fig_OpCFs_FinCFs_InvCFs" sheetId="16" r:id="rId17"/>
    <sheet name="D2_StatmentofCFsCommonSize" sheetId="17" r:id="rId18"/>
    <sheet name="D3_Analysis of CF Statement" sheetId="19" r:id="rId19"/>
    <sheet name="D3_StatementofCFsHorizontal" sheetId="18" r:id="rId20"/>
    <sheet name="D3_StatementofCFsDirectMethod" sheetId="20" r:id="rId21"/>
    <sheet name="D1_StockholdersEq t=0" sheetId="21" r:id="rId22"/>
    <sheet name="D1_StockholderEq t=-1" sheetId="22" r:id="rId23"/>
    <sheet name="D1_StockholderEq t= -2" sheetId="23" r:id="rId24"/>
    <sheet name="D1_StockholderEq t=-3" sheetId="24" r:id="rId25"/>
    <sheet name="D1_StockholderEq t=-4" sheetId="25" r:id="rId26"/>
    <sheet name="D1_StockholderEq t=-5" sheetId="26" r:id="rId27"/>
    <sheet name="D4_ProfitabilityAnalysis" sheetId="27" r:id="rId28"/>
    <sheet name="D4_Activity Ratios" sheetId="28" r:id="rId29"/>
    <sheet name="D4_CreditRiskAnalysis" sheetId="29" r:id="rId30"/>
    <sheet name="D4_Valuation Ratios" sheetId="30" r:id="rId31"/>
    <sheet name="D5_Long Term Liab" sheetId="31" state="hidden" r:id="rId32"/>
    <sheet name="D5_Income Shifting" sheetId="32" state="hidden" r:id="rId3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29" l="1"/>
  <c r="E29" i="29"/>
  <c r="F29" i="29"/>
  <c r="G29" i="29"/>
  <c r="H29" i="29"/>
  <c r="C29" i="29"/>
  <c r="D31" i="29"/>
  <c r="E31" i="29"/>
  <c r="F31" i="29"/>
  <c r="G31" i="29"/>
  <c r="H31" i="29"/>
  <c r="C31" i="29"/>
  <c r="C38" i="30"/>
  <c r="D38" i="30"/>
  <c r="E38" i="30"/>
  <c r="F38" i="30"/>
  <c r="G38" i="30"/>
  <c r="C37" i="30"/>
  <c r="D37" i="30"/>
  <c r="E37" i="30"/>
  <c r="F37" i="30"/>
  <c r="G37" i="30"/>
  <c r="C36" i="30"/>
  <c r="D36" i="30"/>
  <c r="E36" i="30"/>
  <c r="F36" i="30"/>
  <c r="G36" i="30"/>
  <c r="C35" i="30"/>
  <c r="D35" i="30"/>
  <c r="E35" i="30"/>
  <c r="F35" i="30"/>
  <c r="G35" i="30"/>
  <c r="C34" i="30"/>
  <c r="D34" i="30"/>
  <c r="E34" i="30"/>
  <c r="F34" i="30"/>
  <c r="G34" i="30"/>
  <c r="C30" i="30"/>
  <c r="D30" i="30"/>
  <c r="E30" i="30"/>
  <c r="F30" i="30"/>
  <c r="G30" i="30"/>
  <c r="C28" i="30"/>
  <c r="D28" i="30"/>
  <c r="E28" i="30"/>
  <c r="F28" i="30"/>
  <c r="G28" i="30"/>
  <c r="C27" i="30"/>
  <c r="D27" i="30"/>
  <c r="E27" i="30"/>
  <c r="F27" i="30"/>
  <c r="G27" i="30"/>
  <c r="C26" i="30"/>
  <c r="D26" i="30"/>
  <c r="E26" i="30"/>
  <c r="F26" i="30"/>
  <c r="G26" i="30"/>
  <c r="C24" i="30"/>
  <c r="C29" i="30" s="1"/>
  <c r="C31" i="30" s="1"/>
  <c r="D24" i="30"/>
  <c r="D29" i="30" s="1"/>
  <c r="D31" i="30" s="1"/>
  <c r="E24" i="30"/>
  <c r="E29" i="30" s="1"/>
  <c r="E31" i="30" s="1"/>
  <c r="F24" i="30"/>
  <c r="F29" i="30" s="1"/>
  <c r="F31" i="30" s="1"/>
  <c r="G24" i="30"/>
  <c r="G29" i="30" s="1"/>
  <c r="G31" i="30" s="1"/>
  <c r="B35" i="30"/>
  <c r="B36" i="30" s="1"/>
  <c r="B38" i="30" s="1"/>
  <c r="B34" i="30"/>
  <c r="B37" i="30"/>
  <c r="B30" i="30"/>
  <c r="B28" i="30"/>
  <c r="B29" i="30" s="1"/>
  <c r="B31" i="30" s="1"/>
  <c r="B27" i="30"/>
  <c r="B26" i="30"/>
  <c r="B24" i="30"/>
  <c r="B19" i="30"/>
  <c r="G55" i="29"/>
  <c r="E6" i="30"/>
  <c r="F6" i="30"/>
  <c r="B6" i="30"/>
  <c r="C44" i="2"/>
  <c r="C55" i="29" s="1"/>
  <c r="D44" i="2"/>
  <c r="D55" i="29" s="1"/>
  <c r="E44" i="2"/>
  <c r="E55" i="29" s="1"/>
  <c r="F44" i="2"/>
  <c r="F55" i="29" s="1"/>
  <c r="G44" i="2"/>
  <c r="B44" i="2"/>
  <c r="B55" i="29" s="1"/>
  <c r="C43" i="30"/>
  <c r="C6" i="30" s="1"/>
  <c r="D43" i="30"/>
  <c r="D6" i="30" s="1"/>
  <c r="E43" i="30"/>
  <c r="F43" i="30"/>
  <c r="G43" i="30"/>
  <c r="G6" i="30" s="1"/>
  <c r="B43" i="30"/>
  <c r="C5" i="30"/>
  <c r="D5" i="30"/>
  <c r="E5" i="30"/>
  <c r="F5" i="30"/>
  <c r="G5" i="30"/>
  <c r="C7" i="30"/>
  <c r="D7" i="30"/>
  <c r="E7" i="30"/>
  <c r="F7" i="30"/>
  <c r="G7" i="30"/>
  <c r="B7" i="30"/>
  <c r="B5" i="30"/>
  <c r="C12" i="30"/>
  <c r="D12" i="30"/>
  <c r="E12" i="30"/>
  <c r="F12" i="30"/>
  <c r="G12" i="30"/>
  <c r="B12" i="30"/>
  <c r="C11" i="30"/>
  <c r="D11" i="30"/>
  <c r="E11" i="30"/>
  <c r="F11" i="30"/>
  <c r="G11" i="30"/>
  <c r="B11" i="30"/>
  <c r="C31" i="9"/>
  <c r="D31" i="9"/>
  <c r="E31" i="9"/>
  <c r="F31" i="9"/>
  <c r="G31" i="9"/>
  <c r="B31" i="9"/>
  <c r="C64" i="29"/>
  <c r="D64" i="29"/>
  <c r="E64" i="29"/>
  <c r="F64" i="29"/>
  <c r="G64" i="29"/>
  <c r="B64" i="29"/>
  <c r="C4" i="30"/>
  <c r="D4" i="30"/>
  <c r="E4" i="30"/>
  <c r="F4" i="30"/>
  <c r="G4" i="30"/>
  <c r="B4" i="30"/>
  <c r="C10" i="30"/>
  <c r="D10" i="30"/>
  <c r="E10" i="30"/>
  <c r="F10" i="30"/>
  <c r="G10" i="30"/>
  <c r="B10" i="30"/>
  <c r="C61" i="29"/>
  <c r="D61" i="29"/>
  <c r="E61" i="29"/>
  <c r="F61" i="29"/>
  <c r="G61" i="29"/>
  <c r="B61" i="29"/>
  <c r="C58" i="29"/>
  <c r="D58" i="29"/>
  <c r="E58" i="29"/>
  <c r="F58" i="29"/>
  <c r="G58" i="29"/>
  <c r="B58" i="29"/>
  <c r="C52" i="29"/>
  <c r="D52" i="29"/>
  <c r="E52" i="29"/>
  <c r="F52" i="29"/>
  <c r="G52" i="29"/>
  <c r="B52" i="29"/>
  <c r="C49" i="29"/>
  <c r="D49" i="29"/>
  <c r="E49" i="29"/>
  <c r="F49" i="29"/>
  <c r="G49" i="29"/>
  <c r="B49" i="29"/>
  <c r="C46" i="29"/>
  <c r="D46" i="29"/>
  <c r="E46" i="29"/>
  <c r="F46" i="29"/>
  <c r="G46" i="29"/>
  <c r="B46" i="29"/>
  <c r="C18" i="29"/>
  <c r="D18" i="29"/>
  <c r="E18" i="29"/>
  <c r="F18" i="29"/>
  <c r="G18" i="29"/>
  <c r="B18" i="29"/>
  <c r="C43" i="29"/>
  <c r="D43" i="29"/>
  <c r="E43" i="29"/>
  <c r="F43" i="29"/>
  <c r="G43" i="29"/>
  <c r="B43" i="29"/>
  <c r="C40" i="29"/>
  <c r="D40" i="29"/>
  <c r="E40" i="29"/>
  <c r="F40" i="29"/>
  <c r="G40" i="29"/>
  <c r="B40" i="29"/>
  <c r="C37" i="29"/>
  <c r="D37" i="29"/>
  <c r="E37" i="29"/>
  <c r="F37" i="29"/>
  <c r="G37" i="29"/>
  <c r="B37" i="29"/>
  <c r="D28" i="29"/>
  <c r="E28" i="29"/>
  <c r="F28" i="29"/>
  <c r="G28" i="29"/>
  <c r="H28" i="29"/>
  <c r="C28" i="29"/>
  <c r="D27" i="29"/>
  <c r="E27" i="29"/>
  <c r="F27" i="29"/>
  <c r="G27" i="29"/>
  <c r="H27" i="29"/>
  <c r="C27" i="29"/>
  <c r="D26" i="29"/>
  <c r="E26" i="29"/>
  <c r="F26" i="29"/>
  <c r="G26" i="29"/>
  <c r="H26" i="29"/>
  <c r="C26" i="29"/>
  <c r="D25" i="29"/>
  <c r="E25" i="29"/>
  <c r="F25" i="29"/>
  <c r="G25" i="29"/>
  <c r="H25" i="29"/>
  <c r="C25" i="29"/>
  <c r="G15" i="29"/>
  <c r="C15" i="29"/>
  <c r="D15" i="29"/>
  <c r="E15" i="29"/>
  <c r="F15" i="29"/>
  <c r="B15" i="29"/>
  <c r="C14" i="29"/>
  <c r="D14" i="29"/>
  <c r="E14" i="29"/>
  <c r="F14" i="29"/>
  <c r="G14" i="29"/>
  <c r="B14" i="29"/>
  <c r="C13" i="29"/>
  <c r="D13" i="29"/>
  <c r="E13" i="29"/>
  <c r="F13" i="29"/>
  <c r="G13" i="29"/>
  <c r="B13" i="29"/>
  <c r="B12" i="29"/>
  <c r="C12" i="29"/>
  <c r="D12" i="29"/>
  <c r="E12" i="29"/>
  <c r="F12" i="29"/>
  <c r="G12" i="29"/>
  <c r="C6" i="29"/>
  <c r="D6" i="29"/>
  <c r="E6" i="29"/>
  <c r="F6" i="29"/>
  <c r="G6" i="29"/>
  <c r="B6" i="29"/>
  <c r="C5" i="29"/>
  <c r="D5" i="29"/>
  <c r="E5" i="29"/>
  <c r="F5" i="29"/>
  <c r="G5" i="29"/>
  <c r="B5" i="29"/>
  <c r="C4" i="29"/>
  <c r="D4" i="29"/>
  <c r="E4" i="29"/>
  <c r="F4" i="29"/>
  <c r="G4" i="29"/>
  <c r="B4" i="29"/>
  <c r="C15" i="28"/>
  <c r="D15" i="28"/>
  <c r="E15" i="28"/>
  <c r="F15" i="28"/>
  <c r="B15" i="28"/>
  <c r="C4" i="28"/>
  <c r="D4" i="28"/>
  <c r="E4" i="28"/>
  <c r="F4" i="28"/>
  <c r="B4" i="28"/>
  <c r="C16" i="28"/>
  <c r="C18" i="28" s="1"/>
  <c r="D16" i="28"/>
  <c r="D18" i="28" s="1"/>
  <c r="E16" i="28"/>
  <c r="E18" i="28" s="1"/>
  <c r="F16" i="28"/>
  <c r="F18" i="28" s="1"/>
  <c r="B16" i="28"/>
  <c r="B18" i="28" s="1"/>
  <c r="C13" i="28"/>
  <c r="D13" i="28"/>
  <c r="E13" i="28"/>
  <c r="F13" i="28"/>
  <c r="C12" i="28"/>
  <c r="D12" i="28"/>
  <c r="E12" i="28"/>
  <c r="F12" i="28"/>
  <c r="B13" i="28"/>
  <c r="B12" i="28"/>
  <c r="C10" i="28"/>
  <c r="D10" i="28"/>
  <c r="E10" i="28"/>
  <c r="F10" i="28"/>
  <c r="B10" i="28"/>
  <c r="C9" i="28"/>
  <c r="D9" i="28"/>
  <c r="E9" i="28"/>
  <c r="F9" i="28"/>
  <c r="B9" i="28"/>
  <c r="C6" i="28"/>
  <c r="D6" i="28"/>
  <c r="E6" i="28"/>
  <c r="F6" i="28"/>
  <c r="B6" i="28"/>
  <c r="C5" i="28"/>
  <c r="D5" i="28"/>
  <c r="E5" i="28"/>
  <c r="F5" i="28"/>
  <c r="B5" i="28"/>
  <c r="G35" i="27"/>
  <c r="G34" i="27"/>
  <c r="G28" i="27"/>
  <c r="G27" i="27"/>
  <c r="G23" i="27"/>
  <c r="G22" i="27"/>
  <c r="G19" i="27"/>
  <c r="C19" i="27"/>
  <c r="D19" i="27"/>
  <c r="E19" i="27"/>
  <c r="F19" i="27"/>
  <c r="B19" i="27"/>
  <c r="C23" i="27"/>
  <c r="D23" i="27"/>
  <c r="E23" i="27"/>
  <c r="F23" i="27"/>
  <c r="B23" i="27"/>
  <c r="C22" i="27"/>
  <c r="D22" i="27"/>
  <c r="E22" i="27"/>
  <c r="F22" i="27"/>
  <c r="B22" i="27"/>
  <c r="C28" i="27"/>
  <c r="D28" i="27"/>
  <c r="E28" i="27"/>
  <c r="F28" i="27"/>
  <c r="C35" i="27"/>
  <c r="D35" i="27"/>
  <c r="E35" i="27"/>
  <c r="F35" i="27"/>
  <c r="B35" i="27"/>
  <c r="B28" i="27"/>
  <c r="C27" i="27"/>
  <c r="D27" i="27"/>
  <c r="E27" i="27"/>
  <c r="F27" i="27"/>
  <c r="B27" i="27"/>
  <c r="C26" i="27"/>
  <c r="D26" i="27"/>
  <c r="E26" i="27"/>
  <c r="F26" i="27"/>
  <c r="G26" i="27"/>
  <c r="B26" i="27"/>
  <c r="C34" i="27"/>
  <c r="D34" i="27"/>
  <c r="E34" i="27"/>
  <c r="F34" i="27"/>
  <c r="B34" i="27"/>
  <c r="C33" i="27"/>
  <c r="D33" i="27"/>
  <c r="E33" i="27"/>
  <c r="F33" i="27"/>
  <c r="G33" i="27"/>
  <c r="B33" i="27"/>
  <c r="C32" i="27"/>
  <c r="D32" i="27"/>
  <c r="E32" i="27"/>
  <c r="F32" i="27"/>
  <c r="G32" i="27"/>
  <c r="B32" i="27"/>
  <c r="C31" i="27"/>
  <c r="D31" i="27"/>
  <c r="E31" i="27"/>
  <c r="F31" i="27"/>
  <c r="G31" i="27"/>
  <c r="B31" i="27"/>
  <c r="C40" i="27"/>
  <c r="D40" i="27"/>
  <c r="E40" i="27"/>
  <c r="F40" i="27"/>
  <c r="G40" i="27"/>
  <c r="C41" i="27"/>
  <c r="D41" i="27"/>
  <c r="E41" i="27"/>
  <c r="F41" i="27"/>
  <c r="G41" i="27"/>
  <c r="C42" i="27"/>
  <c r="D42" i="27"/>
  <c r="E42" i="27"/>
  <c r="F42" i="27"/>
  <c r="G42" i="27"/>
  <c r="C43" i="27"/>
  <c r="D43" i="27"/>
  <c r="E43" i="27"/>
  <c r="F43" i="27"/>
  <c r="G43" i="27"/>
  <c r="B41" i="27"/>
  <c r="B42" i="27"/>
  <c r="B43" i="27"/>
  <c r="B40" i="27"/>
  <c r="C7" i="27"/>
  <c r="D7" i="27"/>
  <c r="E7" i="27"/>
  <c r="F7" i="27"/>
  <c r="G7" i="27"/>
  <c r="C8" i="27"/>
  <c r="D8" i="27"/>
  <c r="E8" i="27"/>
  <c r="F8" i="27"/>
  <c r="G8" i="27"/>
  <c r="C10" i="27"/>
  <c r="D10" i="27"/>
  <c r="E10" i="27"/>
  <c r="F10" i="27"/>
  <c r="G10" i="27"/>
  <c r="C11" i="27"/>
  <c r="D11" i="27"/>
  <c r="E11" i="27"/>
  <c r="F11" i="27"/>
  <c r="G11" i="27"/>
  <c r="C13" i="27"/>
  <c r="D13" i="27"/>
  <c r="E13" i="27"/>
  <c r="F13" i="27"/>
  <c r="G13" i="27"/>
  <c r="C14" i="27"/>
  <c r="D14" i="27"/>
  <c r="E14" i="27"/>
  <c r="F14" i="27"/>
  <c r="G14" i="27"/>
  <c r="B14" i="27"/>
  <c r="B13" i="27"/>
  <c r="B11" i="27"/>
  <c r="B10" i="27"/>
  <c r="C5" i="27"/>
  <c r="D5" i="27"/>
  <c r="E5" i="27"/>
  <c r="F5" i="27"/>
  <c r="G5" i="27"/>
  <c r="B5" i="27"/>
  <c r="C4" i="27"/>
  <c r="D4" i="27"/>
  <c r="E4" i="27"/>
  <c r="F4" i="27"/>
  <c r="G4" i="27"/>
  <c r="B4" i="27"/>
  <c r="D25" i="20"/>
  <c r="E25" i="20"/>
  <c r="F25" i="20"/>
  <c r="G25" i="20"/>
  <c r="H25" i="20"/>
  <c r="C25" i="20"/>
  <c r="D18" i="20"/>
  <c r="E18" i="20"/>
  <c r="F18" i="20"/>
  <c r="G18" i="20"/>
  <c r="H18" i="20"/>
  <c r="C18" i="20"/>
  <c r="C11" i="19"/>
  <c r="D11" i="19"/>
  <c r="E11" i="19"/>
  <c r="F11" i="19"/>
  <c r="G11" i="19"/>
  <c r="B11" i="19"/>
  <c r="C12" i="19"/>
  <c r="D12" i="19"/>
  <c r="E12" i="19"/>
  <c r="F12" i="19"/>
  <c r="G12" i="19"/>
  <c r="B12" i="19"/>
  <c r="C13" i="19"/>
  <c r="D13" i="19"/>
  <c r="E13" i="19"/>
  <c r="F13" i="19"/>
  <c r="G13" i="19"/>
  <c r="B13" i="19"/>
  <c r="C7" i="19"/>
  <c r="D7" i="19"/>
  <c r="E7" i="19"/>
  <c r="F7" i="19"/>
  <c r="G7" i="19"/>
  <c r="B7" i="19"/>
  <c r="G8" i="19"/>
  <c r="F8" i="19"/>
  <c r="E8" i="19"/>
  <c r="D8" i="19"/>
  <c r="C8" i="19"/>
  <c r="B8" i="19"/>
  <c r="C14" i="19"/>
  <c r="D14" i="19"/>
  <c r="E14" i="19"/>
  <c r="F14" i="19"/>
  <c r="G14" i="19"/>
  <c r="B14" i="19"/>
  <c r="C10" i="19"/>
  <c r="D10" i="19"/>
  <c r="E10" i="19"/>
  <c r="F10" i="19"/>
  <c r="G10" i="19"/>
  <c r="B10" i="19"/>
  <c r="C9" i="19"/>
  <c r="D9" i="19"/>
  <c r="E9" i="19"/>
  <c r="F9" i="19"/>
  <c r="G9" i="19"/>
  <c r="B9" i="19"/>
  <c r="C6" i="19"/>
  <c r="D6" i="19"/>
  <c r="E6" i="19"/>
  <c r="F6" i="19"/>
  <c r="G6" i="19"/>
  <c r="B6" i="19"/>
  <c r="C5" i="19"/>
  <c r="D5" i="19"/>
  <c r="E5" i="19"/>
  <c r="F5" i="19"/>
  <c r="G5" i="19"/>
  <c r="B5" i="19"/>
  <c r="C4" i="19"/>
  <c r="D4" i="19"/>
  <c r="E4" i="19"/>
  <c r="F4" i="19"/>
  <c r="G4" i="19"/>
  <c r="B4" i="19"/>
  <c r="K11" i="18"/>
  <c r="P11" i="18"/>
  <c r="O11" i="18"/>
  <c r="N11" i="18"/>
  <c r="M11" i="18"/>
  <c r="L11" i="18"/>
  <c r="P7" i="18"/>
  <c r="O7" i="18"/>
  <c r="N7" i="18"/>
  <c r="M7" i="18"/>
  <c r="L7" i="18"/>
  <c r="K7" i="18"/>
  <c r="P3" i="18"/>
  <c r="O3" i="18"/>
  <c r="N3" i="18"/>
  <c r="M3" i="18"/>
  <c r="L3" i="18"/>
  <c r="K3" i="18"/>
  <c r="S21" i="6"/>
  <c r="R21" i="6"/>
  <c r="Q21" i="6"/>
  <c r="P21" i="6"/>
  <c r="O21" i="6"/>
  <c r="S20" i="6"/>
  <c r="R20" i="6"/>
  <c r="Q20" i="6"/>
  <c r="P20" i="6"/>
  <c r="O20" i="6"/>
  <c r="N20" i="6"/>
  <c r="S18" i="6"/>
  <c r="R18" i="6"/>
  <c r="Q18" i="6"/>
  <c r="O18" i="6"/>
  <c r="N18" i="6"/>
  <c r="P18" i="6"/>
  <c r="S19" i="6"/>
  <c r="R19" i="6"/>
  <c r="Q19" i="6"/>
  <c r="P19" i="6"/>
  <c r="O19" i="6"/>
  <c r="G7" i="11"/>
  <c r="F7" i="11"/>
  <c r="E7" i="11"/>
  <c r="C7" i="11"/>
  <c r="B7" i="11"/>
  <c r="D7" i="11"/>
  <c r="G6" i="11"/>
  <c r="F6" i="11"/>
  <c r="E6" i="11"/>
  <c r="D6" i="11"/>
  <c r="C6" i="11"/>
  <c r="B6" i="11"/>
  <c r="G5" i="11"/>
  <c r="F5" i="11"/>
  <c r="E5" i="11"/>
  <c r="D5" i="11"/>
  <c r="C5" i="11"/>
  <c r="B5" i="11"/>
  <c r="C8" i="13"/>
  <c r="D8" i="13"/>
  <c r="E8" i="13"/>
  <c r="F8" i="13"/>
  <c r="C11" i="13"/>
  <c r="D11" i="13"/>
  <c r="E11" i="13"/>
  <c r="F11" i="13"/>
  <c r="B11" i="13"/>
  <c r="C14" i="13"/>
  <c r="D14" i="13"/>
  <c r="E14" i="13"/>
  <c r="F14" i="13"/>
  <c r="G14" i="13"/>
  <c r="B14" i="13"/>
  <c r="C5" i="13"/>
  <c r="D5" i="13"/>
  <c r="E5" i="13"/>
  <c r="F5" i="13"/>
  <c r="G5" i="13"/>
  <c r="B5" i="13"/>
  <c r="C5" i="12"/>
  <c r="D5" i="12"/>
  <c r="E5" i="12"/>
  <c r="F5" i="12"/>
  <c r="B5" i="12"/>
  <c r="C4" i="12"/>
  <c r="D4" i="12"/>
  <c r="E4" i="12"/>
  <c r="F4" i="12"/>
  <c r="B4" i="12"/>
  <c r="C3" i="12"/>
  <c r="D3" i="12"/>
  <c r="E3" i="12"/>
  <c r="F3" i="12"/>
  <c r="B3" i="12"/>
  <c r="C4" i="18"/>
  <c r="O8" i="18" s="1"/>
  <c r="D4" i="18"/>
  <c r="N8" i="18" s="1"/>
  <c r="E4" i="18"/>
  <c r="M8" i="18" s="1"/>
  <c r="F4" i="18"/>
  <c r="L8" i="18" s="1"/>
  <c r="C5" i="18"/>
  <c r="O12" i="18" s="1"/>
  <c r="D5" i="18"/>
  <c r="N12" i="18" s="1"/>
  <c r="E5" i="18"/>
  <c r="M12" i="18" s="1"/>
  <c r="F5" i="18"/>
  <c r="L12" i="18" s="1"/>
  <c r="B5" i="18"/>
  <c r="P12" i="18" s="1"/>
  <c r="B4" i="18"/>
  <c r="P8" i="18" s="1"/>
  <c r="C3" i="18"/>
  <c r="O4" i="18" s="1"/>
  <c r="D3" i="18"/>
  <c r="N4" i="18" s="1"/>
  <c r="E3" i="18"/>
  <c r="M4" i="18" s="1"/>
  <c r="F3" i="18"/>
  <c r="L4" i="18" s="1"/>
  <c r="B3" i="18"/>
  <c r="P4" i="18" s="1"/>
  <c r="D26" i="20"/>
  <c r="E26" i="20"/>
  <c r="F26" i="20"/>
  <c r="G26" i="20"/>
  <c r="H26" i="20"/>
  <c r="I26" i="20"/>
  <c r="I24" i="20"/>
  <c r="I19" i="20"/>
  <c r="D22" i="20"/>
  <c r="D24" i="20" s="1"/>
  <c r="E22" i="20"/>
  <c r="E24" i="20" s="1"/>
  <c r="F22" i="20"/>
  <c r="F24" i="20" s="1"/>
  <c r="G22" i="20"/>
  <c r="G24" i="20" s="1"/>
  <c r="H22" i="20"/>
  <c r="H24" i="20" s="1"/>
  <c r="C22" i="20"/>
  <c r="C24" i="20" s="1"/>
  <c r="C26" i="20" s="1"/>
  <c r="D41" i="4"/>
  <c r="D33" i="4"/>
  <c r="D24" i="4"/>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B50"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C4" i="17"/>
  <c r="D4" i="17"/>
  <c r="E4" i="17"/>
  <c r="F4" i="17"/>
  <c r="G4" i="17"/>
  <c r="B4" i="17"/>
  <c r="D17" i="20"/>
  <c r="D19" i="20" s="1"/>
  <c r="E17" i="20"/>
  <c r="E19" i="20" s="1"/>
  <c r="F17" i="20"/>
  <c r="F19" i="20" s="1"/>
  <c r="G17" i="20"/>
  <c r="G19" i="20" s="1"/>
  <c r="H17" i="20"/>
  <c r="H19" i="20" s="1"/>
  <c r="C17" i="20"/>
  <c r="C19" i="20" s="1"/>
  <c r="B30" i="5"/>
  <c r="C32" i="5"/>
  <c r="C30" i="5" s="1"/>
  <c r="D32" i="5"/>
  <c r="D30" i="5" s="1"/>
  <c r="E32" i="5"/>
  <c r="E30" i="5" s="1"/>
  <c r="F32" i="5"/>
  <c r="F30" i="5" s="1"/>
  <c r="B32" i="5"/>
  <c r="C26" i="5"/>
  <c r="D26" i="5"/>
  <c r="E26" i="5"/>
  <c r="F26" i="5"/>
  <c r="G26" i="5"/>
  <c r="G28" i="5" s="1"/>
  <c r="B26" i="5"/>
  <c r="B28" i="5" s="1"/>
  <c r="C22" i="5"/>
  <c r="D22" i="5"/>
  <c r="E22" i="5"/>
  <c r="F22" i="5"/>
  <c r="G22" i="5"/>
  <c r="B22" i="5"/>
  <c r="C22" i="13"/>
  <c r="D22" i="13"/>
  <c r="E22" i="13"/>
  <c r="F22" i="13"/>
  <c r="G22" i="13"/>
  <c r="B22" i="13"/>
  <c r="C21" i="13"/>
  <c r="D21" i="13"/>
  <c r="E21" i="13"/>
  <c r="F21" i="13"/>
  <c r="G21" i="13"/>
  <c r="B21" i="13"/>
  <c r="C20" i="13"/>
  <c r="D20" i="13"/>
  <c r="E20" i="13"/>
  <c r="F20" i="13"/>
  <c r="G20" i="13"/>
  <c r="B20" i="13"/>
  <c r="C19" i="13"/>
  <c r="D19" i="13"/>
  <c r="E19" i="13"/>
  <c r="F19" i="13"/>
  <c r="G19" i="13"/>
  <c r="B19" i="13"/>
  <c r="C13" i="13"/>
  <c r="D13" i="13"/>
  <c r="E13" i="13"/>
  <c r="F13" i="13"/>
  <c r="G13" i="13"/>
  <c r="B13" i="13"/>
  <c r="C10" i="13"/>
  <c r="D10" i="13"/>
  <c r="E10" i="13"/>
  <c r="F10" i="13"/>
  <c r="G10" i="13"/>
  <c r="B10" i="13"/>
  <c r="C7" i="13"/>
  <c r="D7" i="13"/>
  <c r="E7" i="13"/>
  <c r="F7" i="13"/>
  <c r="G7" i="13"/>
  <c r="B7" i="13"/>
  <c r="B7" i="27" s="1"/>
  <c r="C4" i="13"/>
  <c r="D4" i="13"/>
  <c r="E4" i="13"/>
  <c r="F4" i="13"/>
  <c r="G4" i="13"/>
  <c r="B4" i="13"/>
  <c r="C34" i="13"/>
  <c r="D34" i="13"/>
  <c r="E34" i="13"/>
  <c r="F34" i="13"/>
  <c r="G34" i="13"/>
  <c r="B34" i="13"/>
  <c r="C33" i="13"/>
  <c r="D33" i="13"/>
  <c r="E33" i="13"/>
  <c r="F33" i="13"/>
  <c r="G33" i="13"/>
  <c r="B33" i="13"/>
  <c r="C27" i="13"/>
  <c r="D27" i="13"/>
  <c r="E27" i="13"/>
  <c r="F27" i="13"/>
  <c r="G27" i="13"/>
  <c r="B27" i="13"/>
  <c r="C28" i="13"/>
  <c r="D28" i="13"/>
  <c r="E28" i="13"/>
  <c r="F28" i="13"/>
  <c r="G28" i="13"/>
  <c r="J5" i="15"/>
  <c r="B28" i="13"/>
  <c r="C13" i="5"/>
  <c r="D13" i="5"/>
  <c r="E13" i="5"/>
  <c r="F13" i="5"/>
  <c r="B13" i="5"/>
  <c r="B5" i="5"/>
  <c r="B7" i="5"/>
  <c r="C5" i="5"/>
  <c r="C7" i="5" s="1"/>
  <c r="D5" i="5"/>
  <c r="D7" i="5" s="1"/>
  <c r="E5" i="5"/>
  <c r="E7" i="5" s="1"/>
  <c r="F5" i="5"/>
  <c r="F7" i="5" s="1"/>
  <c r="G5" i="5"/>
  <c r="G7" i="5" s="1"/>
  <c r="C3" i="5"/>
  <c r="D3" i="5"/>
  <c r="E3" i="5"/>
  <c r="F3" i="5"/>
  <c r="G3" i="5"/>
  <c r="B3" i="5"/>
  <c r="C46" i="4"/>
  <c r="D46" i="4"/>
  <c r="E46" i="4"/>
  <c r="F46" i="4"/>
  <c r="G46" i="4"/>
  <c r="B46" i="4"/>
  <c r="S15" i="6"/>
  <c r="R15" i="6"/>
  <c r="Q15" i="6"/>
  <c r="P15" i="6"/>
  <c r="O15" i="6"/>
  <c r="C32" i="7"/>
  <c r="D32" i="7"/>
  <c r="E32" i="7"/>
  <c r="F32" i="7"/>
  <c r="G32" i="7"/>
  <c r="B32" i="7"/>
  <c r="C31" i="7"/>
  <c r="D31" i="7"/>
  <c r="E31" i="7"/>
  <c r="F31" i="7"/>
  <c r="G31" i="7"/>
  <c r="B31" i="7"/>
  <c r="C30" i="7"/>
  <c r="D30" i="7"/>
  <c r="E30" i="7"/>
  <c r="F30" i="7"/>
  <c r="G30" i="7"/>
  <c r="B30" i="7"/>
  <c r="C29" i="7"/>
  <c r="D29" i="7"/>
  <c r="E29" i="7"/>
  <c r="F29" i="7"/>
  <c r="G29" i="7"/>
  <c r="B29" i="7"/>
  <c r="C28" i="7"/>
  <c r="D28" i="7"/>
  <c r="E28" i="7"/>
  <c r="F28" i="7"/>
  <c r="G28" i="7"/>
  <c r="B28" i="7"/>
  <c r="C27" i="7"/>
  <c r="D27" i="7"/>
  <c r="E27" i="7"/>
  <c r="F27" i="7"/>
  <c r="G27" i="7"/>
  <c r="B27" i="7"/>
  <c r="C26" i="7"/>
  <c r="D26" i="7"/>
  <c r="E26" i="7"/>
  <c r="F26" i="7"/>
  <c r="G26" i="7"/>
  <c r="B26" i="7"/>
  <c r="S11" i="6"/>
  <c r="R11" i="6"/>
  <c r="Q11" i="6"/>
  <c r="P11" i="6"/>
  <c r="O11" i="6"/>
  <c r="S7" i="6"/>
  <c r="R7" i="6"/>
  <c r="Q7" i="6"/>
  <c r="P7" i="6"/>
  <c r="O7" i="6"/>
  <c r="C21" i="7"/>
  <c r="D21" i="7"/>
  <c r="E21" i="7"/>
  <c r="F21" i="7"/>
  <c r="G21" i="7"/>
  <c r="B21" i="7"/>
  <c r="C20" i="7"/>
  <c r="D20" i="7"/>
  <c r="E20" i="7"/>
  <c r="F20" i="7"/>
  <c r="G20" i="7"/>
  <c r="B20" i="7"/>
  <c r="C15" i="7"/>
  <c r="D15" i="7"/>
  <c r="E15" i="7"/>
  <c r="F15" i="7"/>
  <c r="G15" i="7"/>
  <c r="B15" i="7"/>
  <c r="C4" i="6"/>
  <c r="R3" i="6" s="1"/>
  <c r="B4" i="6"/>
  <c r="S3" i="6" s="1"/>
  <c r="D4" i="6"/>
  <c r="Q3" i="6" s="1"/>
  <c r="E4" i="6"/>
  <c r="P3" i="6" s="1"/>
  <c r="F4" i="6"/>
  <c r="O3" i="6" s="1"/>
  <c r="C14" i="7"/>
  <c r="D14" i="7"/>
  <c r="E14" i="7"/>
  <c r="F14" i="7"/>
  <c r="G14" i="7"/>
  <c r="B14" i="7"/>
  <c r="C13" i="7"/>
  <c r="D13" i="7"/>
  <c r="E13" i="7"/>
  <c r="F13" i="7"/>
  <c r="G13" i="7"/>
  <c r="B13" i="7"/>
  <c r="C12" i="7"/>
  <c r="D12" i="7"/>
  <c r="E12" i="7"/>
  <c r="F12" i="7"/>
  <c r="G12" i="7"/>
  <c r="B12" i="7"/>
  <c r="C11" i="7"/>
  <c r="D11" i="7"/>
  <c r="E11" i="7"/>
  <c r="F11" i="7"/>
  <c r="G11" i="7"/>
  <c r="B11" i="7"/>
  <c r="C5" i="6"/>
  <c r="D5" i="6"/>
  <c r="E5" i="6"/>
  <c r="F5" i="6"/>
  <c r="C6" i="6"/>
  <c r="D6" i="6"/>
  <c r="E6" i="6"/>
  <c r="F6" i="6"/>
  <c r="C8" i="6"/>
  <c r="D8" i="6"/>
  <c r="E8" i="6"/>
  <c r="F8" i="6"/>
  <c r="C9" i="6"/>
  <c r="D9" i="6"/>
  <c r="E9" i="6"/>
  <c r="F9" i="6"/>
  <c r="C11" i="6"/>
  <c r="D11" i="6"/>
  <c r="E11" i="6"/>
  <c r="F11" i="6"/>
  <c r="C12" i="6"/>
  <c r="D12" i="6"/>
  <c r="E12" i="6"/>
  <c r="F12" i="6"/>
  <c r="C13" i="6"/>
  <c r="D13" i="6"/>
  <c r="E13" i="6"/>
  <c r="F13" i="6"/>
  <c r="C14" i="6"/>
  <c r="D14" i="6"/>
  <c r="E14" i="6"/>
  <c r="F14" i="6"/>
  <c r="C16" i="6"/>
  <c r="D16" i="6"/>
  <c r="E16" i="6"/>
  <c r="F16" i="6"/>
  <c r="C17" i="6"/>
  <c r="D17" i="6"/>
  <c r="E17" i="6"/>
  <c r="F17" i="6"/>
  <c r="C18" i="6"/>
  <c r="D18" i="6"/>
  <c r="E18" i="6"/>
  <c r="F18" i="6"/>
  <c r="C19" i="6"/>
  <c r="D19" i="6"/>
  <c r="E19" i="6"/>
  <c r="F19" i="6"/>
  <c r="C20" i="6"/>
  <c r="D20" i="6"/>
  <c r="E20" i="6"/>
  <c r="F20" i="6"/>
  <c r="B5" i="6"/>
  <c r="B20" i="6"/>
  <c r="B19" i="6"/>
  <c r="B18" i="6"/>
  <c r="B17" i="6"/>
  <c r="B16" i="6"/>
  <c r="B14" i="6"/>
  <c r="B13" i="6"/>
  <c r="B12" i="6"/>
  <c r="B11" i="6"/>
  <c r="B9" i="6"/>
  <c r="B8" i="6"/>
  <c r="B6" i="6"/>
  <c r="C6" i="7"/>
  <c r="D6" i="7"/>
  <c r="E6" i="7"/>
  <c r="F6" i="7"/>
  <c r="G6" i="7"/>
  <c r="B6" i="7"/>
  <c r="C5" i="7"/>
  <c r="D5" i="7"/>
  <c r="E5" i="7"/>
  <c r="F5" i="7"/>
  <c r="G5" i="7"/>
  <c r="B5" i="7"/>
  <c r="C4" i="7"/>
  <c r="D4" i="7"/>
  <c r="E4" i="7"/>
  <c r="F4" i="7"/>
  <c r="G4" i="7"/>
  <c r="B4" i="7"/>
  <c r="F4" i="10"/>
  <c r="G6" i="10"/>
  <c r="G7" i="10"/>
  <c r="G8" i="10"/>
  <c r="G9" i="10"/>
  <c r="G11" i="10"/>
  <c r="G12" i="10"/>
  <c r="G13" i="10"/>
  <c r="G15" i="10"/>
  <c r="G16" i="10"/>
  <c r="G17" i="10"/>
  <c r="G18" i="10"/>
  <c r="G19" i="10"/>
  <c r="G20" i="10"/>
  <c r="G21" i="10"/>
  <c r="G22" i="10"/>
  <c r="G24" i="10"/>
  <c r="G25" i="10"/>
  <c r="G26" i="10"/>
  <c r="G28" i="10"/>
  <c r="G29" i="10"/>
  <c r="G30" i="10"/>
  <c r="F8" i="10"/>
  <c r="F9" i="10"/>
  <c r="F11" i="10"/>
  <c r="F12" i="10"/>
  <c r="F13" i="10"/>
  <c r="F15" i="10"/>
  <c r="F16" i="10"/>
  <c r="F17" i="10"/>
  <c r="F18" i="10"/>
  <c r="F19" i="10"/>
  <c r="F20" i="10"/>
  <c r="F21" i="10"/>
  <c r="F22" i="10"/>
  <c r="F24" i="10"/>
  <c r="F25" i="10"/>
  <c r="F26" i="10"/>
  <c r="F28" i="10"/>
  <c r="F29" i="10"/>
  <c r="F30" i="10"/>
  <c r="E8" i="10"/>
  <c r="E9" i="10"/>
  <c r="E11" i="10"/>
  <c r="E12" i="10"/>
  <c r="E13" i="10"/>
  <c r="E15" i="10"/>
  <c r="E16" i="10"/>
  <c r="E17" i="10"/>
  <c r="E18" i="10"/>
  <c r="E19" i="10"/>
  <c r="E20" i="10"/>
  <c r="E21" i="10"/>
  <c r="E22" i="10"/>
  <c r="E24" i="10"/>
  <c r="E25" i="10"/>
  <c r="E26" i="10"/>
  <c r="E28" i="10"/>
  <c r="E29" i="10"/>
  <c r="E30" i="10"/>
  <c r="D8" i="10"/>
  <c r="D9" i="10"/>
  <c r="D11" i="10"/>
  <c r="D12" i="10"/>
  <c r="D14" i="10"/>
  <c r="D15" i="10"/>
  <c r="D16" i="10"/>
  <c r="D17" i="10"/>
  <c r="D18" i="10"/>
  <c r="D19" i="10"/>
  <c r="D22" i="10"/>
  <c r="D24" i="10"/>
  <c r="D25" i="10"/>
  <c r="D26" i="10"/>
  <c r="D28" i="10"/>
  <c r="D29" i="10"/>
  <c r="D30" i="10"/>
  <c r="C8" i="10"/>
  <c r="C9" i="10"/>
  <c r="C11" i="10"/>
  <c r="C12" i="10"/>
  <c r="C14" i="10"/>
  <c r="C15" i="10"/>
  <c r="C16" i="10"/>
  <c r="C17" i="10"/>
  <c r="C18" i="10"/>
  <c r="C19" i="10"/>
  <c r="C22" i="10"/>
  <c r="C24" i="10"/>
  <c r="C25" i="10"/>
  <c r="C26" i="10"/>
  <c r="C28" i="10"/>
  <c r="C29" i="10"/>
  <c r="C30" i="10"/>
  <c r="C5" i="10"/>
  <c r="D5" i="10"/>
  <c r="E5" i="10"/>
  <c r="F5" i="10"/>
  <c r="G5" i="10"/>
  <c r="B8" i="10"/>
  <c r="B9" i="10"/>
  <c r="B11" i="10"/>
  <c r="B12" i="10"/>
  <c r="B14" i="10"/>
  <c r="B15" i="10"/>
  <c r="B16" i="10"/>
  <c r="B17" i="10"/>
  <c r="B18" i="10"/>
  <c r="B19" i="10"/>
  <c r="B22" i="10"/>
  <c r="B24" i="10"/>
  <c r="B25" i="10"/>
  <c r="B26" i="10"/>
  <c r="B28" i="10"/>
  <c r="B29" i="10"/>
  <c r="B30" i="10"/>
  <c r="B5" i="10"/>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D6" i="4"/>
  <c r="D7" i="4"/>
  <c r="D8" i="4"/>
  <c r="D9" i="4"/>
  <c r="D10" i="4"/>
  <c r="D11" i="4"/>
  <c r="D12" i="4"/>
  <c r="D13" i="4"/>
  <c r="D14" i="4"/>
  <c r="D15" i="4"/>
  <c r="D16" i="4"/>
  <c r="D17" i="4"/>
  <c r="D18" i="4"/>
  <c r="D19" i="4"/>
  <c r="D20" i="4"/>
  <c r="D21" i="4"/>
  <c r="D22" i="4"/>
  <c r="D23" i="4"/>
  <c r="D25" i="4"/>
  <c r="D26" i="4"/>
  <c r="D27" i="4"/>
  <c r="D28" i="4"/>
  <c r="D29" i="4"/>
  <c r="D30" i="4"/>
  <c r="D31" i="4"/>
  <c r="D32" i="4"/>
  <c r="D34" i="4"/>
  <c r="D35" i="4"/>
  <c r="D36" i="4"/>
  <c r="D37" i="4"/>
  <c r="D38" i="4"/>
  <c r="D39" i="4"/>
  <c r="D40" i="4"/>
  <c r="D42" i="4"/>
  <c r="D43" i="4"/>
  <c r="D44" i="4"/>
  <c r="G5" i="4"/>
  <c r="F5" i="4"/>
  <c r="E5" i="4"/>
  <c r="D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5" i="4"/>
  <c r="M4" i="14"/>
  <c r="M5" i="14"/>
  <c r="M6" i="14"/>
  <c r="M7" i="14"/>
  <c r="M8" i="14"/>
  <c r="M9" i="14"/>
  <c r="M10" i="14"/>
  <c r="M11" i="14"/>
  <c r="L4" i="14"/>
  <c r="L5" i="14"/>
  <c r="L6" i="14"/>
  <c r="L7" i="14"/>
  <c r="L8" i="14"/>
  <c r="L9" i="14"/>
  <c r="L10" i="14"/>
  <c r="L11" i="14"/>
  <c r="K4" i="14"/>
  <c r="K5" i="14"/>
  <c r="K6" i="14"/>
  <c r="K7" i="14"/>
  <c r="K8" i="14"/>
  <c r="K9" i="14"/>
  <c r="K10" i="14"/>
  <c r="K11" i="14"/>
  <c r="M3" i="14"/>
  <c r="L3" i="14"/>
  <c r="K3" i="14"/>
  <c r="J4" i="14"/>
  <c r="J5" i="14"/>
  <c r="J6" i="14"/>
  <c r="J7" i="14"/>
  <c r="J8" i="14"/>
  <c r="J9" i="14"/>
  <c r="J10" i="14"/>
  <c r="J11" i="14"/>
  <c r="J3" i="14"/>
  <c r="I4" i="14"/>
  <c r="I5" i="14"/>
  <c r="I6" i="14"/>
  <c r="I7" i="14"/>
  <c r="I8" i="14"/>
  <c r="I9" i="14"/>
  <c r="I10" i="14"/>
  <c r="I11" i="14"/>
  <c r="I3" i="14"/>
  <c r="I8" i="20"/>
  <c r="H8" i="20"/>
  <c r="G8" i="20"/>
  <c r="F8" i="20"/>
  <c r="E8" i="20"/>
  <c r="D8" i="20"/>
  <c r="C8" i="20"/>
  <c r="I7" i="20"/>
  <c r="H7" i="20"/>
  <c r="G7" i="20"/>
  <c r="F7" i="20"/>
  <c r="E7" i="20"/>
  <c r="D7" i="20"/>
  <c r="C7" i="20"/>
  <c r="I4" i="20"/>
  <c r="H4" i="20"/>
  <c r="G4" i="20"/>
  <c r="F4" i="20"/>
  <c r="E4" i="20"/>
  <c r="D4" i="20"/>
  <c r="C4" i="20"/>
  <c r="I3" i="20"/>
  <c r="I9" i="20" s="1"/>
  <c r="H3" i="20"/>
  <c r="H9" i="20" s="1"/>
  <c r="G3" i="20"/>
  <c r="G9" i="20" s="1"/>
  <c r="F3" i="20"/>
  <c r="F9" i="20" s="1"/>
  <c r="E3" i="20"/>
  <c r="E9" i="20" s="1"/>
  <c r="D3" i="20"/>
  <c r="C3" i="20"/>
  <c r="N50" i="15"/>
  <c r="M50" i="15"/>
  <c r="L50" i="15"/>
  <c r="K50" i="15"/>
  <c r="J50" i="15"/>
  <c r="N49" i="15"/>
  <c r="M49" i="15"/>
  <c r="L49" i="15"/>
  <c r="K49" i="15"/>
  <c r="J49" i="15"/>
  <c r="N47" i="15"/>
  <c r="M47" i="15"/>
  <c r="L47" i="15"/>
  <c r="K47" i="15"/>
  <c r="J47" i="15"/>
  <c r="N46" i="15"/>
  <c r="M46" i="15"/>
  <c r="L46" i="15"/>
  <c r="K46" i="15"/>
  <c r="J46" i="15"/>
  <c r="N45" i="15"/>
  <c r="M45" i="15"/>
  <c r="L45" i="15"/>
  <c r="K45" i="15"/>
  <c r="J45" i="15"/>
  <c r="N44" i="15"/>
  <c r="M44" i="15"/>
  <c r="L44" i="15"/>
  <c r="K44" i="15"/>
  <c r="J44" i="15"/>
  <c r="N43" i="15"/>
  <c r="M43" i="15"/>
  <c r="L43" i="15"/>
  <c r="K43" i="15"/>
  <c r="J43" i="15"/>
  <c r="N42" i="15"/>
  <c r="M42" i="15"/>
  <c r="L42" i="15"/>
  <c r="K42" i="15"/>
  <c r="J42" i="15"/>
  <c r="N41" i="15"/>
  <c r="M41" i="15"/>
  <c r="L41" i="15"/>
  <c r="K41" i="15"/>
  <c r="J41" i="15"/>
  <c r="N39" i="15"/>
  <c r="M39" i="15"/>
  <c r="L39" i="15"/>
  <c r="K39" i="15"/>
  <c r="J39" i="15"/>
  <c r="N38" i="15"/>
  <c r="M38" i="15"/>
  <c r="L38" i="15"/>
  <c r="K38" i="15"/>
  <c r="J38" i="15"/>
  <c r="N37" i="15"/>
  <c r="M37" i="15"/>
  <c r="L37" i="15"/>
  <c r="K37" i="15"/>
  <c r="J37" i="15"/>
  <c r="N36" i="15"/>
  <c r="M36" i="15"/>
  <c r="L36" i="15"/>
  <c r="K36" i="15"/>
  <c r="J36" i="15"/>
  <c r="N35" i="15"/>
  <c r="M35" i="15"/>
  <c r="L35" i="15"/>
  <c r="K35" i="15"/>
  <c r="J35" i="15"/>
  <c r="N34" i="15"/>
  <c r="M34" i="15"/>
  <c r="L34" i="15"/>
  <c r="K34" i="15"/>
  <c r="J34" i="15"/>
  <c r="N33" i="15"/>
  <c r="M33" i="15"/>
  <c r="L33" i="15"/>
  <c r="K33" i="15"/>
  <c r="J33" i="15"/>
  <c r="N32" i="15"/>
  <c r="M32" i="15"/>
  <c r="L32" i="15"/>
  <c r="K32" i="15"/>
  <c r="J32" i="15"/>
  <c r="N31" i="15"/>
  <c r="M31" i="15"/>
  <c r="L31" i="15"/>
  <c r="K31" i="15"/>
  <c r="J31" i="15"/>
  <c r="N30" i="15"/>
  <c r="M30" i="15"/>
  <c r="L30" i="15"/>
  <c r="K30" i="15"/>
  <c r="J30" i="15"/>
  <c r="N29" i="15"/>
  <c r="M29" i="15"/>
  <c r="L29" i="15"/>
  <c r="K29" i="15"/>
  <c r="J29" i="15"/>
  <c r="N27" i="15"/>
  <c r="M27" i="15"/>
  <c r="L27" i="15"/>
  <c r="K27" i="15"/>
  <c r="J27" i="15"/>
  <c r="N26" i="15"/>
  <c r="M26" i="15"/>
  <c r="L26" i="15"/>
  <c r="K26" i="15"/>
  <c r="J26" i="15"/>
  <c r="N25" i="15"/>
  <c r="M25" i="15"/>
  <c r="L25" i="15"/>
  <c r="K25" i="15"/>
  <c r="J25" i="15"/>
  <c r="N24" i="15"/>
  <c r="M24" i="15"/>
  <c r="L24" i="15"/>
  <c r="K24" i="15"/>
  <c r="J24" i="15"/>
  <c r="N23" i="15"/>
  <c r="M23" i="15"/>
  <c r="L23" i="15"/>
  <c r="K23" i="15"/>
  <c r="J23" i="15"/>
  <c r="N22" i="15"/>
  <c r="M22" i="15"/>
  <c r="L22" i="15"/>
  <c r="K22" i="15"/>
  <c r="J22" i="15"/>
  <c r="N21" i="15"/>
  <c r="M21" i="15"/>
  <c r="L21" i="15"/>
  <c r="K21" i="15"/>
  <c r="J21" i="15"/>
  <c r="N20" i="15"/>
  <c r="M20" i="15"/>
  <c r="L20" i="15"/>
  <c r="K20" i="15"/>
  <c r="J20" i="15"/>
  <c r="N19" i="15"/>
  <c r="M19" i="15"/>
  <c r="L19" i="15"/>
  <c r="K19" i="15"/>
  <c r="J19" i="15"/>
  <c r="N18" i="15"/>
  <c r="M18" i="15"/>
  <c r="L18" i="15"/>
  <c r="K18" i="15"/>
  <c r="J18" i="15"/>
  <c r="N17" i="15"/>
  <c r="M17" i="15"/>
  <c r="L17" i="15"/>
  <c r="K17" i="15"/>
  <c r="J17" i="15"/>
  <c r="N16" i="15"/>
  <c r="M16" i="15"/>
  <c r="L16" i="15"/>
  <c r="K16" i="15"/>
  <c r="J16" i="15"/>
  <c r="N15" i="15"/>
  <c r="M15" i="15"/>
  <c r="L15" i="15"/>
  <c r="K15" i="15"/>
  <c r="J15" i="15"/>
  <c r="N14" i="15"/>
  <c r="M14" i="15"/>
  <c r="L14" i="15"/>
  <c r="K14" i="15"/>
  <c r="J14" i="15"/>
  <c r="N13" i="15"/>
  <c r="M13" i="15"/>
  <c r="L13" i="15"/>
  <c r="K13" i="15"/>
  <c r="J13" i="15"/>
  <c r="N12" i="15"/>
  <c r="M12" i="15"/>
  <c r="L12" i="15"/>
  <c r="K12" i="15"/>
  <c r="J12" i="15"/>
  <c r="N11" i="15"/>
  <c r="M11" i="15"/>
  <c r="L11" i="15"/>
  <c r="K11" i="15"/>
  <c r="J11" i="15"/>
  <c r="N10" i="15"/>
  <c r="M10" i="15"/>
  <c r="L10" i="15"/>
  <c r="K10" i="15"/>
  <c r="J10" i="15"/>
  <c r="N9" i="15"/>
  <c r="M9" i="15"/>
  <c r="L9" i="15"/>
  <c r="K9" i="15"/>
  <c r="J9" i="15"/>
  <c r="N8" i="15"/>
  <c r="M8" i="15"/>
  <c r="L8" i="15"/>
  <c r="K8" i="15"/>
  <c r="J8" i="15"/>
  <c r="N7" i="15"/>
  <c r="M7" i="15"/>
  <c r="L7" i="15"/>
  <c r="K7" i="15"/>
  <c r="J7" i="15"/>
  <c r="N6" i="15"/>
  <c r="M6" i="15"/>
  <c r="L6" i="15"/>
  <c r="K6" i="15"/>
  <c r="J6" i="15"/>
  <c r="N5" i="15"/>
  <c r="M5" i="15"/>
  <c r="L5" i="15"/>
  <c r="K5" i="15"/>
  <c r="N4" i="15"/>
  <c r="M4" i="15"/>
  <c r="L4" i="15"/>
  <c r="K4" i="15"/>
  <c r="J4" i="15"/>
  <c r="M30" i="9"/>
  <c r="L30" i="9"/>
  <c r="K30" i="9"/>
  <c r="J30" i="9"/>
  <c r="I30" i="9"/>
  <c r="M29" i="9"/>
  <c r="L29" i="9"/>
  <c r="K29" i="9"/>
  <c r="J29" i="9"/>
  <c r="I29" i="9"/>
  <c r="M28" i="9"/>
  <c r="L28" i="9"/>
  <c r="K28" i="9"/>
  <c r="J28" i="9"/>
  <c r="I28" i="9"/>
  <c r="M26" i="9"/>
  <c r="L26" i="9"/>
  <c r="K26" i="9"/>
  <c r="J26" i="9"/>
  <c r="I26" i="9"/>
  <c r="M25" i="9"/>
  <c r="L25" i="9"/>
  <c r="K25" i="9"/>
  <c r="J25" i="9"/>
  <c r="I25" i="9"/>
  <c r="M24" i="9"/>
  <c r="L24" i="9"/>
  <c r="K24" i="9"/>
  <c r="J24" i="9"/>
  <c r="I24" i="9"/>
  <c r="M22" i="9"/>
  <c r="L22" i="9"/>
  <c r="K22" i="9"/>
  <c r="J22" i="9"/>
  <c r="I22" i="9"/>
  <c r="M21" i="9"/>
  <c r="L21" i="9"/>
  <c r="K21" i="9"/>
  <c r="J21" i="9"/>
  <c r="I21" i="9"/>
  <c r="M20" i="9"/>
  <c r="L20" i="9"/>
  <c r="K20" i="9"/>
  <c r="J20" i="9"/>
  <c r="I20" i="9"/>
  <c r="M19" i="9"/>
  <c r="L19" i="9"/>
  <c r="K19" i="9"/>
  <c r="J19" i="9"/>
  <c r="I19" i="9"/>
  <c r="M18" i="9"/>
  <c r="L18" i="9"/>
  <c r="K18" i="9"/>
  <c r="J18" i="9"/>
  <c r="I18" i="9"/>
  <c r="M17" i="9"/>
  <c r="L17" i="9"/>
  <c r="K17" i="9"/>
  <c r="J17" i="9"/>
  <c r="I17" i="9"/>
  <c r="M16" i="9"/>
  <c r="L16" i="9"/>
  <c r="K16" i="9"/>
  <c r="J16" i="9"/>
  <c r="I16" i="9"/>
  <c r="M15" i="9"/>
  <c r="L15" i="9"/>
  <c r="K15" i="9"/>
  <c r="J15" i="9"/>
  <c r="I15" i="9"/>
  <c r="M14" i="9"/>
  <c r="L14" i="9"/>
  <c r="K14" i="9"/>
  <c r="J14" i="9"/>
  <c r="I14" i="9"/>
  <c r="M13" i="9"/>
  <c r="L13" i="9"/>
  <c r="K13" i="9"/>
  <c r="J13" i="9"/>
  <c r="I13" i="9"/>
  <c r="M12" i="9"/>
  <c r="L12" i="9"/>
  <c r="K12" i="9"/>
  <c r="J12" i="9"/>
  <c r="I12" i="9"/>
  <c r="M11" i="9"/>
  <c r="L11" i="9"/>
  <c r="K11" i="9"/>
  <c r="J11" i="9"/>
  <c r="I11" i="9"/>
  <c r="M9" i="9"/>
  <c r="L9" i="9"/>
  <c r="K9" i="9"/>
  <c r="J9" i="9"/>
  <c r="I9" i="9"/>
  <c r="M8" i="9"/>
  <c r="L8" i="9"/>
  <c r="K8" i="9"/>
  <c r="J8" i="9"/>
  <c r="I8" i="9"/>
  <c r="M7" i="9"/>
  <c r="L7" i="9"/>
  <c r="K7" i="9"/>
  <c r="J7" i="9"/>
  <c r="I7" i="9"/>
  <c r="M6" i="9"/>
  <c r="L6" i="9"/>
  <c r="K6" i="9"/>
  <c r="J6" i="9"/>
  <c r="I6" i="9"/>
  <c r="M5" i="9"/>
  <c r="L5" i="9"/>
  <c r="K5" i="9"/>
  <c r="J5" i="9"/>
  <c r="I5" i="9"/>
  <c r="M4" i="9"/>
  <c r="L4" i="9"/>
  <c r="K4" i="9"/>
  <c r="J4" i="9"/>
  <c r="I4" i="9"/>
  <c r="N43" i="2"/>
  <c r="M43" i="2"/>
  <c r="L43" i="2"/>
  <c r="K43" i="2"/>
  <c r="J43" i="2"/>
  <c r="N42" i="2"/>
  <c r="M42" i="2"/>
  <c r="L42" i="2"/>
  <c r="K42" i="2"/>
  <c r="J42" i="2"/>
  <c r="N41" i="2"/>
  <c r="M41" i="2"/>
  <c r="L41" i="2"/>
  <c r="K41" i="2"/>
  <c r="J41" i="2"/>
  <c r="N40" i="2"/>
  <c r="M40" i="2"/>
  <c r="L40" i="2"/>
  <c r="K40" i="2"/>
  <c r="J40" i="2"/>
  <c r="N39" i="2"/>
  <c r="M39" i="2"/>
  <c r="L39" i="2"/>
  <c r="K39" i="2"/>
  <c r="J39" i="2"/>
  <c r="N38" i="2"/>
  <c r="M38" i="2"/>
  <c r="L38" i="2"/>
  <c r="K38" i="2"/>
  <c r="J38" i="2"/>
  <c r="N37" i="2"/>
  <c r="M37" i="2"/>
  <c r="L37" i="2"/>
  <c r="K37" i="2"/>
  <c r="J37" i="2"/>
  <c r="N36" i="2"/>
  <c r="M36" i="2"/>
  <c r="L36" i="2"/>
  <c r="K36" i="2"/>
  <c r="J36" i="2"/>
  <c r="N35" i="2"/>
  <c r="M35" i="2"/>
  <c r="L35" i="2"/>
  <c r="K35" i="2"/>
  <c r="J35" i="2"/>
  <c r="N33" i="2"/>
  <c r="M33" i="2"/>
  <c r="L33" i="2"/>
  <c r="K33" i="2"/>
  <c r="J33" i="2"/>
  <c r="N32" i="2"/>
  <c r="M32" i="2"/>
  <c r="L32" i="2"/>
  <c r="K32" i="2"/>
  <c r="J32" i="2"/>
  <c r="N31" i="2"/>
  <c r="M31" i="2"/>
  <c r="L31" i="2"/>
  <c r="K31" i="2"/>
  <c r="J31" i="2"/>
  <c r="N30" i="2"/>
  <c r="M30" i="2"/>
  <c r="L30" i="2"/>
  <c r="K30" i="2"/>
  <c r="J30" i="2"/>
  <c r="N29" i="2"/>
  <c r="M29" i="2"/>
  <c r="L29" i="2"/>
  <c r="K29" i="2"/>
  <c r="J29" i="2"/>
  <c r="N28" i="2"/>
  <c r="M28" i="2"/>
  <c r="L28" i="2"/>
  <c r="K28" i="2"/>
  <c r="J28" i="2"/>
  <c r="N26" i="2"/>
  <c r="M26" i="2"/>
  <c r="L26" i="2"/>
  <c r="K26" i="2"/>
  <c r="J26" i="2"/>
  <c r="N25" i="2"/>
  <c r="M25" i="2"/>
  <c r="L25" i="2"/>
  <c r="K25" i="2"/>
  <c r="J25" i="2"/>
  <c r="N24" i="2"/>
  <c r="M24" i="2"/>
  <c r="L24" i="2"/>
  <c r="K24" i="2"/>
  <c r="J24" i="2"/>
  <c r="N23" i="2"/>
  <c r="M23" i="2"/>
  <c r="L23" i="2"/>
  <c r="K23" i="2"/>
  <c r="J23" i="2"/>
  <c r="N22" i="2"/>
  <c r="M22" i="2"/>
  <c r="L22" i="2"/>
  <c r="K22" i="2"/>
  <c r="J22" i="2"/>
  <c r="N21" i="2"/>
  <c r="M21" i="2"/>
  <c r="L21" i="2"/>
  <c r="K21" i="2"/>
  <c r="J21" i="2"/>
  <c r="N19" i="2"/>
  <c r="M19" i="2"/>
  <c r="L19" i="2"/>
  <c r="K19" i="2"/>
  <c r="J19" i="2"/>
  <c r="N18" i="2"/>
  <c r="M18" i="2"/>
  <c r="L18" i="2"/>
  <c r="K18" i="2"/>
  <c r="J18" i="2"/>
  <c r="N17" i="2"/>
  <c r="M17" i="2"/>
  <c r="L17" i="2"/>
  <c r="K17" i="2"/>
  <c r="J17" i="2"/>
  <c r="N16" i="2"/>
  <c r="M16" i="2"/>
  <c r="L16" i="2"/>
  <c r="K16" i="2"/>
  <c r="J16" i="2"/>
  <c r="N15" i="2"/>
  <c r="M15" i="2"/>
  <c r="L15" i="2"/>
  <c r="K15" i="2"/>
  <c r="J15" i="2"/>
  <c r="N14" i="2"/>
  <c r="M14" i="2"/>
  <c r="L14" i="2"/>
  <c r="K14" i="2"/>
  <c r="J14" i="2"/>
  <c r="N13" i="2"/>
  <c r="M13" i="2"/>
  <c r="L13" i="2"/>
  <c r="K13" i="2"/>
  <c r="J13" i="2"/>
  <c r="N11" i="2"/>
  <c r="M11" i="2"/>
  <c r="L11" i="2"/>
  <c r="K11" i="2"/>
  <c r="J11" i="2"/>
  <c r="N10" i="2"/>
  <c r="M10" i="2"/>
  <c r="L10" i="2"/>
  <c r="K10" i="2"/>
  <c r="J10" i="2"/>
  <c r="N9" i="2"/>
  <c r="M9" i="2"/>
  <c r="L9" i="2"/>
  <c r="K9" i="2"/>
  <c r="J9" i="2"/>
  <c r="N8" i="2"/>
  <c r="M8" i="2"/>
  <c r="L8" i="2"/>
  <c r="K8" i="2"/>
  <c r="J8" i="2"/>
  <c r="N7" i="2"/>
  <c r="M7" i="2"/>
  <c r="L7" i="2"/>
  <c r="K7" i="2"/>
  <c r="J7" i="2"/>
  <c r="N6" i="2"/>
  <c r="M6" i="2"/>
  <c r="L6" i="2"/>
  <c r="K6" i="2"/>
  <c r="J6" i="2"/>
  <c r="N5" i="2"/>
  <c r="M5" i="2"/>
  <c r="L5" i="2"/>
  <c r="K5" i="2"/>
  <c r="J5" i="2"/>
  <c r="N4" i="2"/>
  <c r="M4" i="2"/>
  <c r="L4" i="2"/>
  <c r="K4" i="2"/>
  <c r="J4" i="2"/>
  <c r="B8" i="13" l="1"/>
  <c r="B8" i="27" s="1"/>
  <c r="D9" i="20"/>
  <c r="C9" i="20"/>
  <c r="F28" i="5"/>
  <c r="E28" i="5"/>
  <c r="D28" i="5"/>
  <c r="C28" i="5"/>
  <c r="F9" i="5"/>
  <c r="E9" i="5"/>
  <c r="D9" i="5"/>
  <c r="C9" i="5"/>
  <c r="B9" i="5"/>
  <c r="B11" i="5"/>
  <c r="F11" i="5"/>
  <c r="E11" i="5"/>
  <c r="D11" i="5"/>
  <c r="C1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1" authorId="0" shapeId="0" xr:uid="{00000000-0006-0000-0100-000001000000}">
      <text>
        <r>
          <rPr>
            <sz val="11"/>
            <color theme="1"/>
            <rFont val="Calibri"/>
            <family val="2"/>
            <scheme val="minor"/>
          </rPr>
          <t>Watson, Ethan D.:
Note: by convention t=0 represent today…for our purposes it represents the latest year of data available.  
Also please note that companies can have different fiscal year ends.  Thus, you want to match the latest year for the two firms as closely as possible.</t>
        </r>
      </text>
    </comment>
    <comment ref="B2" authorId="0" shapeId="0" xr:uid="{00000000-0006-0000-0100-000002000000}">
      <text>
        <r>
          <rPr>
            <sz val="11"/>
            <color theme="1"/>
            <rFont val="Calibri"/>
            <family val="2"/>
            <scheme val="minor"/>
          </rPr>
          <t xml:space="preserve">Watson, Ethan D.:
Insert actual year.  Eg. 2018.
</t>
        </r>
      </text>
    </comment>
    <comment ref="C2" authorId="0" shapeId="0" xr:uid="{00000000-0006-0000-0100-000003000000}">
      <text>
        <r>
          <rPr>
            <sz val="11"/>
            <color theme="1"/>
            <rFont val="Calibri"/>
            <family val="2"/>
            <scheme val="minor"/>
          </rPr>
          <t xml:space="preserve">Watson, Ethan D.:
Insert actual year.  Eg. 2017.
</t>
        </r>
      </text>
    </comment>
    <comment ref="D2" authorId="0" shapeId="0" xr:uid="{00000000-0006-0000-0100-000004000000}">
      <text>
        <r>
          <rPr>
            <sz val="11"/>
            <color theme="1"/>
            <rFont val="Calibri"/>
            <family val="2"/>
            <scheme val="minor"/>
          </rPr>
          <t xml:space="preserve">Watson, Ethan D.:
Insert actual year.  Eg. 2016.
</t>
        </r>
      </text>
    </comment>
    <comment ref="E2" authorId="0" shapeId="0" xr:uid="{00000000-0006-0000-0100-000005000000}">
      <text>
        <r>
          <rPr>
            <sz val="11"/>
            <color theme="1"/>
            <rFont val="Calibri"/>
            <family val="2"/>
            <scheme val="minor"/>
          </rPr>
          <t xml:space="preserve">Watson, Ethan D.:
Insert actual year.  Eg. 2015.
</t>
        </r>
      </text>
    </comment>
    <comment ref="F2" authorId="0" shapeId="0" xr:uid="{00000000-0006-0000-0100-000006000000}">
      <text>
        <r>
          <rPr>
            <sz val="11"/>
            <color theme="1"/>
            <rFont val="Calibri"/>
            <family val="2"/>
            <scheme val="minor"/>
          </rPr>
          <t xml:space="preserve">Watson, Ethan D.:
Insert actual year.  Eg. 2014.
</t>
        </r>
      </text>
    </comment>
    <comment ref="G2" authorId="0" shapeId="0" xr:uid="{00000000-0006-0000-0100-000007000000}">
      <text>
        <r>
          <rPr>
            <sz val="11"/>
            <color theme="1"/>
            <rFont val="Calibri"/>
            <family val="2"/>
            <scheme val="minor"/>
          </rPr>
          <t xml:space="preserve">Watson, Ethan D.:
Insert actual year.  Eg. 2013.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2" authorId="0" shapeId="0" xr:uid="{00000000-0006-0000-0300-000001000000}">
      <text>
        <r>
          <rPr>
            <sz val="11"/>
            <color theme="1"/>
            <rFont val="Calibri"/>
            <family val="2"/>
            <scheme val="minor"/>
          </rPr>
          <t xml:space="preserve">Watson, Ethan D.:
Insert actual year.  Eg. 2018.
</t>
        </r>
      </text>
    </comment>
    <comment ref="C2" authorId="0" shapeId="0" xr:uid="{00000000-0006-0000-0300-000002000000}">
      <text>
        <r>
          <rPr>
            <sz val="11"/>
            <color theme="1"/>
            <rFont val="Calibri"/>
            <family val="2"/>
            <scheme val="minor"/>
          </rPr>
          <t xml:space="preserve">Watson, Ethan D.:
Insert actual year.  Eg. 2017.
</t>
        </r>
      </text>
    </comment>
    <comment ref="D2" authorId="0" shapeId="0" xr:uid="{00000000-0006-0000-0300-000003000000}">
      <text>
        <r>
          <rPr>
            <sz val="11"/>
            <color theme="1"/>
            <rFont val="Calibri"/>
            <family val="2"/>
            <scheme val="minor"/>
          </rPr>
          <t xml:space="preserve">Watson, Ethan D.:
Insert actual year.  Eg. 2016.
</t>
        </r>
      </text>
    </comment>
    <comment ref="E2" authorId="0" shapeId="0" xr:uid="{00000000-0006-0000-0300-000004000000}">
      <text>
        <r>
          <rPr>
            <sz val="11"/>
            <color theme="1"/>
            <rFont val="Calibri"/>
            <family val="2"/>
            <scheme val="minor"/>
          </rPr>
          <t xml:space="preserve">Watson, Ethan D.:
Insert actual year.  Eg. 2015.
</t>
        </r>
      </text>
    </comment>
    <comment ref="F2" authorId="0" shapeId="0" xr:uid="{00000000-0006-0000-0300-000005000000}">
      <text>
        <r>
          <rPr>
            <sz val="11"/>
            <color theme="1"/>
            <rFont val="Calibri"/>
            <family val="2"/>
            <scheme val="minor"/>
          </rPr>
          <t xml:space="preserve">Watson, Ethan D.:
Insert actual year.  Eg. 2014.
</t>
        </r>
      </text>
    </comment>
    <comment ref="G2" authorId="0" shapeId="0" xr:uid="{00000000-0006-0000-0300-000006000000}">
      <text>
        <r>
          <rPr>
            <sz val="11"/>
            <color theme="1"/>
            <rFont val="Calibri"/>
            <family val="2"/>
            <scheme val="minor"/>
          </rPr>
          <t xml:space="preserve">Watson, Ethan D.:
Insert actual year.  Eg. 2013.
</t>
        </r>
      </text>
    </comment>
    <comment ref="B3" authorId="0" shapeId="0" xr:uid="{03822D82-6C1D-4DE8-AC37-B540F30DCF3A}">
      <text>
        <r>
          <rPr>
            <sz val="11"/>
            <color theme="1"/>
            <rFont val="Calibri"/>
            <family val="2"/>
            <scheme val="minor"/>
          </rPr>
          <t xml:space="preserve">Watson, Ethan D.:
Insert actual year.  Eg. 2018.
</t>
        </r>
      </text>
    </comment>
    <comment ref="C3" authorId="0" shapeId="0" xr:uid="{71F6C993-B2BF-478D-B5C7-0B5C004D8E19}">
      <text>
        <r>
          <rPr>
            <sz val="11"/>
            <color theme="1"/>
            <rFont val="Calibri"/>
            <family val="2"/>
            <scheme val="minor"/>
          </rPr>
          <t xml:space="preserve">Watson, Ethan D.:
Insert actual year.  Eg. 2017.
</t>
        </r>
      </text>
    </comment>
    <comment ref="D3" authorId="0" shapeId="0" xr:uid="{64FC5476-0C02-40BF-AF7E-028BEA4F1C17}">
      <text>
        <r>
          <rPr>
            <sz val="11"/>
            <color theme="1"/>
            <rFont val="Calibri"/>
            <family val="2"/>
            <scheme val="minor"/>
          </rPr>
          <t xml:space="preserve">Watson, Ethan D.:
Insert actual year.  Eg. 2016.
</t>
        </r>
      </text>
    </comment>
    <comment ref="E3" authorId="0" shapeId="0" xr:uid="{20D573A8-AA72-4E9A-B6E5-14EC275DA5CE}">
      <text>
        <r>
          <rPr>
            <sz val="11"/>
            <color theme="1"/>
            <rFont val="Calibri"/>
            <family val="2"/>
            <scheme val="minor"/>
          </rPr>
          <t xml:space="preserve">Watson, Ethan D.:
Insert actual year.  Eg. 2015.
</t>
        </r>
      </text>
    </comment>
    <comment ref="F3" authorId="0" shapeId="0" xr:uid="{26EE5B06-4692-4860-9E34-E79A5FFE0D36}">
      <text>
        <r>
          <rPr>
            <sz val="11"/>
            <color theme="1"/>
            <rFont val="Calibri"/>
            <family val="2"/>
            <scheme val="minor"/>
          </rPr>
          <t xml:space="preserve">Watson, Ethan D.:
Insert actual year.  Eg. 2014.
</t>
        </r>
      </text>
    </comment>
    <comment ref="G3" authorId="0" shapeId="0" xr:uid="{B8D30EE1-ECB8-4D95-AD32-08E2F974A225}">
      <text>
        <r>
          <rPr>
            <sz val="11"/>
            <color theme="1"/>
            <rFont val="Calibri"/>
            <family val="2"/>
            <scheme val="minor"/>
          </rPr>
          <t xml:space="preserve">Watson, Ethan D.:
Insert actual year.  Eg. 2013.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2" authorId="0" shapeId="0" xr:uid="{00000000-0006-0000-0400-000001000000}">
      <text>
        <r>
          <rPr>
            <sz val="11"/>
            <color theme="1"/>
            <rFont val="Calibri"/>
            <family val="2"/>
            <scheme val="minor"/>
          </rPr>
          <t xml:space="preserve">Watson, Ethan D.:
Insert actual year.  Eg. 2018.
</t>
        </r>
      </text>
    </comment>
    <comment ref="C2" authorId="0" shapeId="0" xr:uid="{00000000-0006-0000-0400-000002000000}">
      <text>
        <r>
          <rPr>
            <sz val="11"/>
            <color theme="1"/>
            <rFont val="Calibri"/>
            <family val="2"/>
            <scheme val="minor"/>
          </rPr>
          <t xml:space="preserve">Watson, Ethan D.:
Insert actual year.  Eg. 2017.
</t>
        </r>
      </text>
    </comment>
    <comment ref="D2" authorId="0" shapeId="0" xr:uid="{00000000-0006-0000-0400-000003000000}">
      <text>
        <r>
          <rPr>
            <sz val="11"/>
            <color theme="1"/>
            <rFont val="Calibri"/>
            <family val="2"/>
            <scheme val="minor"/>
          </rPr>
          <t xml:space="preserve">Watson, Ethan D.:
Insert actual year.  Eg. 2016.
</t>
        </r>
      </text>
    </comment>
    <comment ref="E2" authorId="0" shapeId="0" xr:uid="{00000000-0006-0000-0400-000004000000}">
      <text>
        <r>
          <rPr>
            <sz val="11"/>
            <color theme="1"/>
            <rFont val="Calibri"/>
            <family val="2"/>
            <scheme val="minor"/>
          </rPr>
          <t xml:space="preserve">Watson, Ethan D.:
Insert actual year.  Eg. 2015.
</t>
        </r>
      </text>
    </comment>
    <comment ref="F2" authorId="0" shapeId="0" xr:uid="{00000000-0006-0000-0400-000005000000}">
      <text>
        <r>
          <rPr>
            <sz val="11"/>
            <color theme="1"/>
            <rFont val="Calibri"/>
            <family val="2"/>
            <scheme val="minor"/>
          </rPr>
          <t xml:space="preserve">Watson, Ethan D.:
Insert actual year.  Eg. 2014.
</t>
        </r>
      </text>
    </comment>
    <comment ref="G2" authorId="0" shapeId="0" xr:uid="{00000000-0006-0000-0400-000006000000}">
      <text>
        <r>
          <rPr>
            <sz val="11"/>
            <color theme="1"/>
            <rFont val="Calibri"/>
            <family val="2"/>
            <scheme val="minor"/>
          </rPr>
          <t xml:space="preserve">Watson, Ethan D.:
Insert actual year.  Eg. 2013.
</t>
        </r>
      </text>
    </comment>
    <comment ref="A3" authorId="0" shapeId="0" xr:uid="{00000000-0006-0000-0400-000007000000}">
      <text>
        <r>
          <rPr>
            <sz val="11"/>
            <color theme="1"/>
            <rFont val="Calibri"/>
            <family val="2"/>
            <scheme val="minor"/>
          </rPr>
          <t>Watson, Ethan D.:
Note:
CA = Current Assets
CL = Current Liabilities
NWC = Net Working Capital.
Intuitive Understanding: "How well do your most liquid assets (CA) cover your most pressing liabilities (CL)</t>
        </r>
      </text>
    </comment>
    <comment ref="A7" authorId="0" shapeId="0" xr:uid="{00000000-0006-0000-0400-000008000000}">
      <text>
        <r>
          <rPr>
            <sz val="11"/>
            <color theme="1"/>
            <rFont val="Calibri"/>
            <family val="2"/>
            <scheme val="minor"/>
          </rPr>
          <t>Watson, Ethan D.:
Note:  We frequently don't see a line called Notes Payable (NP) on our Balance Sheets…thus, you need to understand intuitively what this term is doing in the formula….it is there to remove financing activities from Current Liabilities, which leaves you with only the operating liabilities.  We frequently see financing activities called things like "Short term Debt", "Current Maturities of Long Term Debt", etc.   If you run into a line item in the Balance Sheet that you aren't sure what is in there, consult the Significant Accounting Policies and search the 10k for the term to see if you can determine what the line item is.</t>
        </r>
      </text>
    </comment>
    <comment ref="A11" authorId="0" shapeId="0" xr:uid="{00000000-0006-0000-0400-000009000000}">
      <text>
        <r>
          <rPr>
            <sz val="11"/>
            <color theme="1"/>
            <rFont val="Calibri"/>
            <family val="2"/>
            <scheme val="minor"/>
          </rPr>
          <t xml:space="preserve">Watson, Ethan D.:
I will show you alternate calculations of Free Cash Flow later in the course.  I will also show you how they are the same thing mathematically by deriving one formula from the other….something the CFA cirriculum doesn't do….they just want you to memorize the various formulas....I think it is easier if you understand where they come from and why they are the same.
</t>
        </r>
      </text>
    </comment>
    <comment ref="A13" authorId="0" shapeId="0" xr:uid="{00000000-0006-0000-0400-00000A000000}">
      <text>
        <r>
          <rPr>
            <sz val="11"/>
            <color theme="1"/>
            <rFont val="Calibri"/>
            <family val="2"/>
            <scheme val="minor"/>
          </rPr>
          <t>Watson, Ethan D.:
Note: NFA = Net Fixed Assets, i.e. your Property, Plant, and Equipment (PP&amp;E).  Also note that you add back depreciation because a simple difference of Net Fixed Assets between years doesn't capture the amount that you depreciated over the course of the period...thus we have to add it back to determine how much was spent in the capital budget for the year.</t>
        </r>
      </text>
    </comment>
    <comment ref="B21" authorId="0" shapeId="0" xr:uid="{304F6D82-A065-4573-AD1B-F281581F1460}">
      <text>
        <r>
          <rPr>
            <sz val="11"/>
            <color theme="1"/>
            <rFont val="Calibri"/>
            <family val="2"/>
            <scheme val="minor"/>
          </rPr>
          <t xml:space="preserve">Watson, Ethan D.:
Insert actual year.  Eg. 2018.
</t>
        </r>
      </text>
    </comment>
    <comment ref="C21" authorId="0" shapeId="0" xr:uid="{B6092ADE-8F1E-469C-8D31-C0C056D67346}">
      <text>
        <r>
          <rPr>
            <sz val="11"/>
            <color theme="1"/>
            <rFont val="Calibri"/>
            <family val="2"/>
            <scheme val="minor"/>
          </rPr>
          <t xml:space="preserve">Watson, Ethan D.:
Insert actual year.  Eg. 2017.
</t>
        </r>
      </text>
    </comment>
    <comment ref="D21" authorId="0" shapeId="0" xr:uid="{629DEC87-8DD7-42C2-858D-0D9B8AF38265}">
      <text>
        <r>
          <rPr>
            <sz val="11"/>
            <color theme="1"/>
            <rFont val="Calibri"/>
            <family val="2"/>
            <scheme val="minor"/>
          </rPr>
          <t xml:space="preserve">Watson, Ethan D.:
Insert actual year.  Eg. 2016.
</t>
        </r>
      </text>
    </comment>
    <comment ref="E21" authorId="0" shapeId="0" xr:uid="{87E2421D-7D75-4921-B98B-1BAC9C9EB774}">
      <text>
        <r>
          <rPr>
            <sz val="11"/>
            <color theme="1"/>
            <rFont val="Calibri"/>
            <family val="2"/>
            <scheme val="minor"/>
          </rPr>
          <t xml:space="preserve">Watson, Ethan D.:
Insert actual year.  Eg. 2015.
</t>
        </r>
      </text>
    </comment>
    <comment ref="F21" authorId="0" shapeId="0" xr:uid="{9013B8A9-1A63-4C66-B66E-501EECD8E19F}">
      <text>
        <r>
          <rPr>
            <sz val="11"/>
            <color theme="1"/>
            <rFont val="Calibri"/>
            <family val="2"/>
            <scheme val="minor"/>
          </rPr>
          <t xml:space="preserve">Watson, Ethan D.:
Insert actual year.  Eg. 2014.
</t>
        </r>
      </text>
    </comment>
    <comment ref="G21" authorId="0" shapeId="0" xr:uid="{1403F1B5-546E-41A2-820D-817D3DD1D4A8}">
      <text>
        <r>
          <rPr>
            <sz val="11"/>
            <color theme="1"/>
            <rFont val="Calibri"/>
            <family val="2"/>
            <scheme val="minor"/>
          </rPr>
          <t xml:space="preserve">Watson, Ethan D.:
Insert actual year.  Eg. 2013.
</t>
        </r>
      </text>
    </comment>
    <comment ref="A22" authorId="0" shapeId="0" xr:uid="{8D70AD16-FB14-47C7-99CB-7689AEEBC0A3}">
      <text>
        <r>
          <rPr>
            <sz val="11"/>
            <color theme="1"/>
            <rFont val="Calibri"/>
            <family val="2"/>
            <scheme val="minor"/>
          </rPr>
          <t>Watson, Ethan D.:
Note:
CA = Current Assets
CL = Current Liabilities
NWC = Net Working Capital.
Intuitive Understanding: "How well do your most liquid assets (CA) cover your most pressing liabilities (CL)</t>
        </r>
      </text>
    </comment>
    <comment ref="A26" authorId="0" shapeId="0" xr:uid="{1DC665B1-8623-4E57-9DB4-49CEC9FC3143}">
      <text>
        <r>
          <rPr>
            <sz val="11"/>
            <color theme="1"/>
            <rFont val="Calibri"/>
            <family val="2"/>
            <scheme val="minor"/>
          </rPr>
          <t>Watson, Ethan D.:
Note:  We frequently don't see a line called Notes Payable (NP) on our Balance Sheets…thus, you need to understand intuitively what this term is doing in the formula….it is there to remove financing activities from Current Liabilities, which leaves you with only the operating liabilities.  We frequently see financing activities called things like "Short term Debt", "Current Maturities of Long Term Debt", etc.   If you run into a line item in the Balance Sheet that you aren't sure what is in there, consult the Significant Accounting Policies and search the 10k for the term to see if you can determine what the line item is.</t>
        </r>
      </text>
    </comment>
    <comment ref="A30" authorId="0" shapeId="0" xr:uid="{00BDE18C-1B85-48AD-B363-10FB00C000E4}">
      <text>
        <r>
          <rPr>
            <sz val="11"/>
            <color theme="1"/>
            <rFont val="Calibri"/>
            <family val="2"/>
            <scheme val="minor"/>
          </rPr>
          <t xml:space="preserve">Watson, Ethan D.:
I will show you alternate calculations of Free Cash Flow later in the course.  I will also show you how they are the same thing mathematically by deriving one formula from the other….something the CFA cirriculum doesn't do….they just want you to memorize the various formulas....I think it is easier if you understand where they come from and why they are the same.
</t>
        </r>
      </text>
    </comment>
    <comment ref="A32" authorId="0" shapeId="0" xr:uid="{E2A28684-3C64-48D8-8815-6E9C2F39B0CF}">
      <text>
        <r>
          <rPr>
            <sz val="11"/>
            <color theme="1"/>
            <rFont val="Calibri"/>
            <family val="2"/>
            <scheme val="minor"/>
          </rPr>
          <t>Watson, Ethan D.:
Note: NFA = Net Fixed Assets, i.e. your Property, Plant, and Equipment (PP&amp;E).  Also note that you add back depreciation because a simple difference of Net Fixed Assets between years doesn't capture the amount that you depreciated over the course of the period...thus we have to add it back to determine how much was spent in the capital budget for the 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2" authorId="0" shapeId="0" xr:uid="{00000000-0006-0000-0500-000001000000}">
      <text>
        <r>
          <rPr>
            <sz val="11"/>
            <color theme="1"/>
            <rFont val="Calibri"/>
            <family val="2"/>
            <scheme val="minor"/>
          </rPr>
          <t xml:space="preserve">Watson, Ethan D.:
Insert actual year.  Eg. 2018.
</t>
        </r>
      </text>
    </comment>
    <comment ref="C2" authorId="0" shapeId="0" xr:uid="{00000000-0006-0000-0500-000002000000}">
      <text>
        <r>
          <rPr>
            <sz val="11"/>
            <color theme="1"/>
            <rFont val="Calibri"/>
            <family val="2"/>
            <scheme val="minor"/>
          </rPr>
          <t xml:space="preserve">Watson, Ethan D.:
Insert actual year.  Eg. 2017.
</t>
        </r>
      </text>
    </comment>
    <comment ref="D2" authorId="0" shapeId="0" xr:uid="{00000000-0006-0000-0500-000003000000}">
      <text>
        <r>
          <rPr>
            <sz val="11"/>
            <color theme="1"/>
            <rFont val="Calibri"/>
            <family val="2"/>
            <scheme val="minor"/>
          </rPr>
          <t xml:space="preserve">Watson, Ethan D.:
Insert actual year.  Eg. 2016.
</t>
        </r>
      </text>
    </comment>
    <comment ref="E2" authorId="0" shapeId="0" xr:uid="{00000000-0006-0000-0500-000004000000}">
      <text>
        <r>
          <rPr>
            <sz val="11"/>
            <color theme="1"/>
            <rFont val="Calibri"/>
            <family val="2"/>
            <scheme val="minor"/>
          </rPr>
          <t xml:space="preserve">Watson, Ethan D.:
Insert actual year.  Eg. 2015.
</t>
        </r>
      </text>
    </comment>
    <comment ref="F2" authorId="0" shapeId="0" xr:uid="{00000000-0006-0000-0500-000005000000}">
      <text>
        <r>
          <rPr>
            <sz val="11"/>
            <color theme="1"/>
            <rFont val="Calibri"/>
            <family val="2"/>
            <scheme val="minor"/>
          </rPr>
          <t xml:space="preserve">Watson, Ethan D.:
Insert actual year.  Eg. 2014.
</t>
        </r>
      </text>
    </comment>
    <comment ref="G2" authorId="0" shapeId="0" xr:uid="{00000000-0006-0000-0500-000006000000}">
      <text>
        <r>
          <rPr>
            <sz val="11"/>
            <color theme="1"/>
            <rFont val="Calibri"/>
            <family val="2"/>
            <scheme val="minor"/>
          </rPr>
          <t xml:space="preserve">Watson, Ethan D.:
Insert actual year.  Eg. 2013.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A1" authorId="0" shapeId="0" xr:uid="{00000000-0006-0000-0600-000001000000}">
      <text>
        <r>
          <rPr>
            <sz val="11"/>
            <color theme="1"/>
            <rFont val="Calibri"/>
            <family val="2"/>
            <scheme val="minor"/>
          </rPr>
          <t>Watson, Ethan D.:
There is no standard setting body for financial ratios, which leads to situations where a ratio may be called the same thing but calculated differently.  For this class our "standard setting body" is my lecture slides and/or the text.</t>
        </r>
      </text>
    </comment>
    <comment ref="B3" authorId="0" shapeId="0" xr:uid="{00000000-0006-0000-0600-000002000000}">
      <text>
        <r>
          <rPr>
            <sz val="11"/>
            <color theme="1"/>
            <rFont val="Calibri"/>
            <family val="2"/>
            <scheme val="minor"/>
          </rPr>
          <t xml:space="preserve">Watson, Ethan D.:
Insert actual year.  Eg. 2018.
</t>
        </r>
      </text>
    </comment>
    <comment ref="C3" authorId="0" shapeId="0" xr:uid="{00000000-0006-0000-0600-000003000000}">
      <text>
        <r>
          <rPr>
            <sz val="11"/>
            <color theme="1"/>
            <rFont val="Calibri"/>
            <family val="2"/>
            <scheme val="minor"/>
          </rPr>
          <t xml:space="preserve">Watson, Ethan D.:
Insert actual year.  Eg. 2017.
</t>
        </r>
      </text>
    </comment>
    <comment ref="D3" authorId="0" shapeId="0" xr:uid="{00000000-0006-0000-0600-000004000000}">
      <text>
        <r>
          <rPr>
            <sz val="11"/>
            <color theme="1"/>
            <rFont val="Calibri"/>
            <family val="2"/>
            <scheme val="minor"/>
          </rPr>
          <t xml:space="preserve">Watson, Ethan D.:
Insert actual year.  Eg. 2016.
</t>
        </r>
      </text>
    </comment>
    <comment ref="E3" authorId="0" shapeId="0" xr:uid="{00000000-0006-0000-0600-000005000000}">
      <text>
        <r>
          <rPr>
            <sz val="11"/>
            <color theme="1"/>
            <rFont val="Calibri"/>
            <family val="2"/>
            <scheme val="minor"/>
          </rPr>
          <t xml:space="preserve">Watson, Ethan D.:
Insert actual year.  Eg. 2015.
</t>
        </r>
      </text>
    </comment>
    <comment ref="F3" authorId="0" shapeId="0" xr:uid="{00000000-0006-0000-0600-000006000000}">
      <text>
        <r>
          <rPr>
            <sz val="11"/>
            <color theme="1"/>
            <rFont val="Calibri"/>
            <family val="2"/>
            <scheme val="minor"/>
          </rPr>
          <t xml:space="preserve">Watson, Ethan D.:
Insert actual year.  Eg. 2014.
</t>
        </r>
      </text>
    </comment>
    <comment ref="G3" authorId="0" shapeId="0" xr:uid="{00000000-0006-0000-0600-000007000000}">
      <text>
        <r>
          <rPr>
            <sz val="11"/>
            <color theme="1"/>
            <rFont val="Calibri"/>
            <family val="2"/>
            <scheme val="minor"/>
          </rPr>
          <t xml:space="preserve">Watson, Ethan D.:
Insert actual year.  Eg. 2013.
</t>
        </r>
      </text>
    </comment>
    <comment ref="B10" authorId="0" shapeId="0" xr:uid="{00000000-0006-0000-0600-000008000000}">
      <text>
        <r>
          <rPr>
            <sz val="11"/>
            <color theme="1"/>
            <rFont val="Calibri"/>
            <family val="2"/>
            <scheme val="minor"/>
          </rPr>
          <t xml:space="preserve">Watson, Ethan D.:
Insert actual year.  Eg. 2018.
</t>
        </r>
      </text>
    </comment>
    <comment ref="C10" authorId="0" shapeId="0" xr:uid="{00000000-0006-0000-0600-000009000000}">
      <text>
        <r>
          <rPr>
            <sz val="11"/>
            <color theme="1"/>
            <rFont val="Calibri"/>
            <family val="2"/>
            <scheme val="minor"/>
          </rPr>
          <t xml:space="preserve">Watson, Ethan D.:
Insert actual year.  Eg. 2017.
</t>
        </r>
      </text>
    </comment>
    <comment ref="D10" authorId="0" shapeId="0" xr:uid="{00000000-0006-0000-0600-00000A000000}">
      <text>
        <r>
          <rPr>
            <sz val="11"/>
            <color theme="1"/>
            <rFont val="Calibri"/>
            <family val="2"/>
            <scheme val="minor"/>
          </rPr>
          <t xml:space="preserve">Watson, Ethan D.:
Insert actual year.  Eg. 2016.
</t>
        </r>
      </text>
    </comment>
    <comment ref="E10" authorId="0" shapeId="0" xr:uid="{00000000-0006-0000-0600-00000B000000}">
      <text>
        <r>
          <rPr>
            <sz val="11"/>
            <color theme="1"/>
            <rFont val="Calibri"/>
            <family val="2"/>
            <scheme val="minor"/>
          </rPr>
          <t xml:space="preserve">Watson, Ethan D.:
Insert actual year.  Eg. 2015.
</t>
        </r>
      </text>
    </comment>
    <comment ref="F10" authorId="0" shapeId="0" xr:uid="{00000000-0006-0000-0600-00000C000000}">
      <text>
        <r>
          <rPr>
            <sz val="11"/>
            <color theme="1"/>
            <rFont val="Calibri"/>
            <family val="2"/>
            <scheme val="minor"/>
          </rPr>
          <t xml:space="preserve">Watson, Ethan D.:
Insert actual year.  Eg. 2014.
</t>
        </r>
      </text>
    </comment>
    <comment ref="G10" authorId="0" shapeId="0" xr:uid="{00000000-0006-0000-0600-00000D000000}">
      <text>
        <r>
          <rPr>
            <sz val="11"/>
            <color theme="1"/>
            <rFont val="Calibri"/>
            <family val="2"/>
            <scheme val="minor"/>
          </rPr>
          <t xml:space="preserve">Watson, Ethan D.:
Insert actual year.  Eg. 2013.
</t>
        </r>
      </text>
    </comment>
    <comment ref="A14" authorId="0" shapeId="0" xr:uid="{00000000-0006-0000-0600-00000E000000}">
      <text>
        <r>
          <rPr>
            <sz val="11"/>
            <color theme="1"/>
            <rFont val="Calibri"/>
            <family val="2"/>
            <scheme val="minor"/>
          </rPr>
          <t>Watson, Ethan D.:
Debt to Capital = Interest bearing Debt/ (Interest bearing Debt + Total Shareholders Equity)
Note:  CH7 Exhibit 14 pg 327 introduces this ratio.  They use the terms Total debt in the calculation but notice there is a footnote describing what they mean.</t>
        </r>
      </text>
    </comment>
    <comment ref="B19" authorId="0" shapeId="0" xr:uid="{00000000-0006-0000-0600-00000F000000}">
      <text>
        <r>
          <rPr>
            <sz val="11"/>
            <color theme="1"/>
            <rFont val="Calibri"/>
            <family val="2"/>
            <scheme val="minor"/>
          </rPr>
          <t xml:space="preserve">Watson, Ethan D.:
Insert actual year.  Eg. 2018.
</t>
        </r>
      </text>
    </comment>
    <comment ref="C19" authorId="0" shapeId="0" xr:uid="{00000000-0006-0000-0600-000010000000}">
      <text>
        <r>
          <rPr>
            <sz val="11"/>
            <color theme="1"/>
            <rFont val="Calibri"/>
            <family val="2"/>
            <scheme val="minor"/>
          </rPr>
          <t xml:space="preserve">Watson, Ethan D.:
Insert actual year.  Eg. 2017.
</t>
        </r>
      </text>
    </comment>
    <comment ref="D19" authorId="0" shapeId="0" xr:uid="{00000000-0006-0000-0600-000011000000}">
      <text>
        <r>
          <rPr>
            <sz val="11"/>
            <color theme="1"/>
            <rFont val="Calibri"/>
            <family val="2"/>
            <scheme val="minor"/>
          </rPr>
          <t xml:space="preserve">Watson, Ethan D.:
Insert actual year.  Eg. 2016.
</t>
        </r>
      </text>
    </comment>
    <comment ref="E19" authorId="0" shapeId="0" xr:uid="{00000000-0006-0000-0600-000012000000}">
      <text>
        <r>
          <rPr>
            <sz val="11"/>
            <color theme="1"/>
            <rFont val="Calibri"/>
            <family val="2"/>
            <scheme val="minor"/>
          </rPr>
          <t xml:space="preserve">Watson, Ethan D.:
Insert actual year.  Eg. 2015.
</t>
        </r>
      </text>
    </comment>
    <comment ref="F19" authorId="0" shapeId="0" xr:uid="{00000000-0006-0000-0600-000013000000}">
      <text>
        <r>
          <rPr>
            <sz val="11"/>
            <color theme="1"/>
            <rFont val="Calibri"/>
            <family val="2"/>
            <scheme val="minor"/>
          </rPr>
          <t xml:space="preserve">Watson, Ethan D.:
Insert actual year.  Eg. 2014.
</t>
        </r>
      </text>
    </comment>
    <comment ref="G19" authorId="0" shapeId="0" xr:uid="{00000000-0006-0000-0600-000014000000}">
      <text>
        <r>
          <rPr>
            <sz val="11"/>
            <color theme="1"/>
            <rFont val="Calibri"/>
            <family val="2"/>
            <scheme val="minor"/>
          </rPr>
          <t xml:space="preserve">Watson, Ethan D.:
Insert actual year.  Eg. 2013.
</t>
        </r>
      </text>
    </comment>
    <comment ref="B25" authorId="0" shapeId="0" xr:uid="{00000000-0006-0000-0600-000015000000}">
      <text>
        <r>
          <rPr>
            <sz val="11"/>
            <color theme="1"/>
            <rFont val="Calibri"/>
            <family val="2"/>
            <scheme val="minor"/>
          </rPr>
          <t xml:space="preserve">Watson, Ethan D.:
Insert actual year.  Eg. 2018.
</t>
        </r>
      </text>
    </comment>
    <comment ref="C25" authorId="0" shapeId="0" xr:uid="{00000000-0006-0000-0600-000016000000}">
      <text>
        <r>
          <rPr>
            <sz val="11"/>
            <color theme="1"/>
            <rFont val="Calibri"/>
            <family val="2"/>
            <scheme val="minor"/>
          </rPr>
          <t xml:space="preserve">Watson, Ethan D.:
Insert actual year.  Eg. 2017.
</t>
        </r>
      </text>
    </comment>
    <comment ref="D25" authorId="0" shapeId="0" xr:uid="{00000000-0006-0000-0600-000017000000}">
      <text>
        <r>
          <rPr>
            <sz val="11"/>
            <color theme="1"/>
            <rFont val="Calibri"/>
            <family val="2"/>
            <scheme val="minor"/>
          </rPr>
          <t xml:space="preserve">Watson, Ethan D.:
Insert actual year.  Eg. 2016.
</t>
        </r>
      </text>
    </comment>
    <comment ref="E25" authorId="0" shapeId="0" xr:uid="{00000000-0006-0000-0600-000018000000}">
      <text>
        <r>
          <rPr>
            <sz val="11"/>
            <color theme="1"/>
            <rFont val="Calibri"/>
            <family val="2"/>
            <scheme val="minor"/>
          </rPr>
          <t xml:space="preserve">Watson, Ethan D.:
Insert actual year.  Eg. 2015.
</t>
        </r>
      </text>
    </comment>
    <comment ref="F25" authorId="0" shapeId="0" xr:uid="{00000000-0006-0000-0600-000019000000}">
      <text>
        <r>
          <rPr>
            <sz val="11"/>
            <color theme="1"/>
            <rFont val="Calibri"/>
            <family val="2"/>
            <scheme val="minor"/>
          </rPr>
          <t xml:space="preserve">Watson, Ethan D.:
Insert actual year.  Eg. 2014.
</t>
        </r>
      </text>
    </comment>
    <comment ref="G25" authorId="0" shapeId="0" xr:uid="{00000000-0006-0000-0600-00001A000000}">
      <text>
        <r>
          <rPr>
            <sz val="11"/>
            <color theme="1"/>
            <rFont val="Calibri"/>
            <family val="2"/>
            <scheme val="minor"/>
          </rPr>
          <t xml:space="preserve">Watson, Ethan D.:
Insert actual year.  Eg. 2013.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1" authorId="0" shapeId="0" xr:uid="{00000000-0006-0000-0800-000001000000}">
      <text>
        <r>
          <rPr>
            <sz val="11"/>
            <color theme="1"/>
            <rFont val="Calibri"/>
            <family val="2"/>
            <scheme val="minor"/>
          </rPr>
          <t>Watson, Ethan D.:
Note: by convention t=0 represent today…for our purposes it represents the latest year of data available.  
Also please note that companies can have different fiscal year ends.  Thus, you want to match the latest year for the two firms as closely as possible.</t>
        </r>
      </text>
    </comment>
    <comment ref="B2" authorId="0" shapeId="0" xr:uid="{00000000-0006-0000-0800-000002000000}">
      <text>
        <r>
          <rPr>
            <sz val="11"/>
            <color theme="1"/>
            <rFont val="Calibri"/>
            <family val="2"/>
            <scheme val="minor"/>
          </rPr>
          <t xml:space="preserve">Watson, Ethan D.:
Insert actual year.  Eg. 2018.
</t>
        </r>
      </text>
    </comment>
    <comment ref="C2" authorId="0" shapeId="0" xr:uid="{00000000-0006-0000-0800-000003000000}">
      <text>
        <r>
          <rPr>
            <sz val="11"/>
            <color theme="1"/>
            <rFont val="Calibri"/>
            <family val="2"/>
            <scheme val="minor"/>
          </rPr>
          <t xml:space="preserve">Watson, Ethan D.:
Insert actual year.  Eg. 2017.
</t>
        </r>
      </text>
    </comment>
    <comment ref="D2" authorId="0" shapeId="0" xr:uid="{00000000-0006-0000-0800-000004000000}">
      <text>
        <r>
          <rPr>
            <sz val="11"/>
            <color theme="1"/>
            <rFont val="Calibri"/>
            <family val="2"/>
            <scheme val="minor"/>
          </rPr>
          <t xml:space="preserve">Watson, Ethan D.:
Insert actual year.  Eg. 2016.
</t>
        </r>
      </text>
    </comment>
    <comment ref="E2" authorId="0" shapeId="0" xr:uid="{00000000-0006-0000-0800-000005000000}">
      <text>
        <r>
          <rPr>
            <sz val="11"/>
            <color theme="1"/>
            <rFont val="Calibri"/>
            <family val="2"/>
            <scheme val="minor"/>
          </rPr>
          <t xml:space="preserve">Watson, Ethan D.:
Insert actual year.  Eg. 2015.
</t>
        </r>
      </text>
    </comment>
    <comment ref="F2" authorId="0" shapeId="0" xr:uid="{00000000-0006-0000-0800-000006000000}">
      <text>
        <r>
          <rPr>
            <sz val="11"/>
            <color theme="1"/>
            <rFont val="Calibri"/>
            <family val="2"/>
            <scheme val="minor"/>
          </rPr>
          <t xml:space="preserve">Watson, Ethan D.:
Insert actual year.  Eg. 2014.
</t>
        </r>
      </text>
    </comment>
    <comment ref="G2" authorId="0" shapeId="0" xr:uid="{00000000-0006-0000-0800-000007000000}">
      <text>
        <r>
          <rPr>
            <sz val="11"/>
            <color theme="1"/>
            <rFont val="Calibri"/>
            <family val="2"/>
            <scheme val="minor"/>
          </rPr>
          <t xml:space="preserve">Watson, Ethan D.:
Insert actual year.  Eg. 2013.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3" authorId="0" shapeId="0" xr:uid="{00000000-0006-0000-0C00-000001000000}">
      <text>
        <r>
          <rPr>
            <sz val="11"/>
            <color theme="1"/>
            <rFont val="Calibri"/>
            <family val="2"/>
            <scheme val="minor"/>
          </rPr>
          <t>Watson, Ethan D.:
Insert Actual Year, eg. 2018</t>
        </r>
      </text>
    </comment>
    <comment ref="A5" authorId="0" shapeId="0" xr:uid="{00000000-0006-0000-0C00-000002000000}">
      <text>
        <r>
          <rPr>
            <sz val="11"/>
            <color theme="1"/>
            <rFont val="Calibri"/>
            <family val="2"/>
            <scheme val="minor"/>
          </rPr>
          <t xml:space="preserve">Watson, Ethan D.:
Growth measures come from your horizontal analysis
</t>
        </r>
      </text>
    </comment>
    <comment ref="A15" authorId="0" shapeId="0" xr:uid="{00000000-0006-0000-0C00-000003000000}">
      <text>
        <r>
          <rPr>
            <sz val="11"/>
            <color theme="1"/>
            <rFont val="Calibri"/>
            <family val="2"/>
            <scheme val="minor"/>
          </rPr>
          <t>Watson, Ethan D.:
There is no standard setting body for financial ratios, which leads to situations where a ratio may be called the same thing but calculated differently.  For this class our "standard setting body" is my lecture slides and/or the text.</t>
        </r>
      </text>
    </comment>
    <comment ref="B18" authorId="0" shapeId="0" xr:uid="{00000000-0006-0000-0C00-000004000000}">
      <text>
        <r>
          <rPr>
            <sz val="11"/>
            <color theme="1"/>
            <rFont val="Calibri"/>
            <family val="2"/>
            <scheme val="minor"/>
          </rPr>
          <t xml:space="preserve">Watson, Ethan D.:
Insert actual year.  Eg. 2018.
</t>
        </r>
      </text>
    </comment>
    <comment ref="C18" authorId="0" shapeId="0" xr:uid="{00000000-0006-0000-0C00-000005000000}">
      <text>
        <r>
          <rPr>
            <sz val="11"/>
            <color theme="1"/>
            <rFont val="Calibri"/>
            <family val="2"/>
            <scheme val="minor"/>
          </rPr>
          <t xml:space="preserve">Watson, Ethan D.:
Insert actual year.  Eg. 2017.
</t>
        </r>
      </text>
    </comment>
    <comment ref="D18" authorId="0" shapeId="0" xr:uid="{00000000-0006-0000-0C00-000006000000}">
      <text>
        <r>
          <rPr>
            <sz val="11"/>
            <color theme="1"/>
            <rFont val="Calibri"/>
            <family val="2"/>
            <scheme val="minor"/>
          </rPr>
          <t xml:space="preserve">Watson, Ethan D.:
Insert actual year.  Eg. 2016.
</t>
        </r>
      </text>
    </comment>
    <comment ref="E18" authorId="0" shapeId="0" xr:uid="{00000000-0006-0000-0C00-000007000000}">
      <text>
        <r>
          <rPr>
            <sz val="11"/>
            <color theme="1"/>
            <rFont val="Calibri"/>
            <family val="2"/>
            <scheme val="minor"/>
          </rPr>
          <t xml:space="preserve">Watson, Ethan D.:
Insert actual year.  Eg. 2015.
</t>
        </r>
      </text>
    </comment>
    <comment ref="F18" authorId="0" shapeId="0" xr:uid="{00000000-0006-0000-0C00-000008000000}">
      <text>
        <r>
          <rPr>
            <sz val="11"/>
            <color theme="1"/>
            <rFont val="Calibri"/>
            <family val="2"/>
            <scheme val="minor"/>
          </rPr>
          <t xml:space="preserve">Watson, Ethan D.:
Insert actual year.  Eg. 2014.
</t>
        </r>
      </text>
    </comment>
    <comment ref="G18" authorId="0" shapeId="0" xr:uid="{00000000-0006-0000-0C00-000009000000}">
      <text>
        <r>
          <rPr>
            <sz val="11"/>
            <color theme="1"/>
            <rFont val="Calibri"/>
            <family val="2"/>
            <scheme val="minor"/>
          </rPr>
          <t xml:space="preserve">Watson, Ethan D.:
Insert actual year.  Eg. 2013.
</t>
        </r>
      </text>
    </comment>
    <comment ref="B26" authorId="0" shapeId="0" xr:uid="{00000000-0006-0000-0C00-00000A000000}">
      <text>
        <r>
          <rPr>
            <sz val="11"/>
            <color theme="1"/>
            <rFont val="Calibri"/>
            <family val="2"/>
            <scheme val="minor"/>
          </rPr>
          <t xml:space="preserve">Watson, Ethan D.:
Insert actual year.  Eg. 2018.
</t>
        </r>
      </text>
    </comment>
    <comment ref="C26" authorId="0" shapeId="0" xr:uid="{00000000-0006-0000-0C00-00000B000000}">
      <text>
        <r>
          <rPr>
            <sz val="11"/>
            <color theme="1"/>
            <rFont val="Calibri"/>
            <family val="2"/>
            <scheme val="minor"/>
          </rPr>
          <t xml:space="preserve">Watson, Ethan D.:
Insert actual year.  Eg. 2017.
</t>
        </r>
      </text>
    </comment>
    <comment ref="D26" authorId="0" shapeId="0" xr:uid="{00000000-0006-0000-0C00-00000C000000}">
      <text>
        <r>
          <rPr>
            <sz val="11"/>
            <color theme="1"/>
            <rFont val="Calibri"/>
            <family val="2"/>
            <scheme val="minor"/>
          </rPr>
          <t xml:space="preserve">Watson, Ethan D.:
Insert actual year.  Eg. 2016.
</t>
        </r>
      </text>
    </comment>
    <comment ref="E26" authorId="0" shapeId="0" xr:uid="{00000000-0006-0000-0C00-00000D000000}">
      <text>
        <r>
          <rPr>
            <sz val="11"/>
            <color theme="1"/>
            <rFont val="Calibri"/>
            <family val="2"/>
            <scheme val="minor"/>
          </rPr>
          <t xml:space="preserve">Watson, Ethan D.:
Insert actual year.  Eg. 2015.
</t>
        </r>
      </text>
    </comment>
    <comment ref="F26" authorId="0" shapeId="0" xr:uid="{00000000-0006-0000-0C00-00000E000000}">
      <text>
        <r>
          <rPr>
            <sz val="11"/>
            <color theme="1"/>
            <rFont val="Calibri"/>
            <family val="2"/>
            <scheme val="minor"/>
          </rPr>
          <t xml:space="preserve">Watson, Ethan D.:
Insert actual year.  Eg. 2014.
</t>
        </r>
      </text>
    </comment>
    <comment ref="G26" authorId="0" shapeId="0" xr:uid="{00000000-0006-0000-0C00-00000F000000}">
      <text>
        <r>
          <rPr>
            <sz val="11"/>
            <color theme="1"/>
            <rFont val="Calibri"/>
            <family val="2"/>
            <scheme val="minor"/>
          </rPr>
          <t xml:space="preserve">Watson, Ethan D.:
Insert actual year.  Eg. 2013.
</t>
        </r>
      </text>
    </comment>
    <comment ref="A27" authorId="0" shapeId="0" xr:uid="{00000000-0006-0000-0C00-000010000000}">
      <text>
        <r>
          <rPr>
            <sz val="11"/>
            <color theme="1"/>
            <rFont val="Calibri"/>
            <family val="2"/>
            <scheme val="minor"/>
          </rPr>
          <t>Watson, Ethan D.:
Note: These are reported numbers….GAAP and IFRS require that the firm calculate these and tells them how they will be calculated…thus you can find in the 10ks and report here.</t>
        </r>
      </text>
    </comment>
    <comment ref="B32" authorId="0" shapeId="0" xr:uid="{00000000-0006-0000-0C00-000011000000}">
      <text>
        <r>
          <rPr>
            <sz val="11"/>
            <color theme="1"/>
            <rFont val="Calibri"/>
            <family val="2"/>
            <scheme val="minor"/>
          </rPr>
          <t xml:space="preserve">Watson, Ethan D.:
Insert actual year.  Eg. 2018.
</t>
        </r>
      </text>
    </comment>
    <comment ref="C32" authorId="0" shapeId="0" xr:uid="{00000000-0006-0000-0C00-000012000000}">
      <text>
        <r>
          <rPr>
            <sz val="11"/>
            <color theme="1"/>
            <rFont val="Calibri"/>
            <family val="2"/>
            <scheme val="minor"/>
          </rPr>
          <t xml:space="preserve">Watson, Ethan D.:
Insert actual year.  Eg. 2017.
</t>
        </r>
      </text>
    </comment>
    <comment ref="D32" authorId="0" shapeId="0" xr:uid="{00000000-0006-0000-0C00-000013000000}">
      <text>
        <r>
          <rPr>
            <sz val="11"/>
            <color theme="1"/>
            <rFont val="Calibri"/>
            <family val="2"/>
            <scheme val="minor"/>
          </rPr>
          <t xml:space="preserve">Watson, Ethan D.:
Insert actual year.  Eg. 2016.
</t>
        </r>
      </text>
    </comment>
    <comment ref="E32" authorId="0" shapeId="0" xr:uid="{00000000-0006-0000-0C00-000014000000}">
      <text>
        <r>
          <rPr>
            <sz val="11"/>
            <color theme="1"/>
            <rFont val="Calibri"/>
            <family val="2"/>
            <scheme val="minor"/>
          </rPr>
          <t xml:space="preserve">Watson, Ethan D.:
Insert actual year.  Eg. 2015.
</t>
        </r>
      </text>
    </comment>
    <comment ref="F32" authorId="0" shapeId="0" xr:uid="{00000000-0006-0000-0C00-000015000000}">
      <text>
        <r>
          <rPr>
            <sz val="11"/>
            <color theme="1"/>
            <rFont val="Calibri"/>
            <family val="2"/>
            <scheme val="minor"/>
          </rPr>
          <t xml:space="preserve">Watson, Ethan D.:
Insert actual year.  Eg. 2014.
</t>
        </r>
      </text>
    </comment>
    <comment ref="G32" authorId="0" shapeId="0" xr:uid="{00000000-0006-0000-0C00-000016000000}">
      <text>
        <r>
          <rPr>
            <sz val="11"/>
            <color theme="1"/>
            <rFont val="Calibri"/>
            <family val="2"/>
            <scheme val="minor"/>
          </rPr>
          <t xml:space="preserve">Watson, Ethan D.:
Insert actual year.  Eg. 2013.
</t>
        </r>
      </text>
    </comment>
    <comment ref="A33" authorId="0" shapeId="0" xr:uid="{00000000-0006-0000-0C00-000017000000}">
      <text>
        <r>
          <rPr>
            <sz val="11"/>
            <color theme="1"/>
            <rFont val="Calibri"/>
            <family val="2"/>
            <scheme val="minor"/>
          </rPr>
          <t xml:space="preserve">Watson, Ethan D.:
Total Comprehesnive Income is Net Income plus Other Comprehensive Income.
Thus Net Income divided by Total Comprehensive Income is just the percentage of Total Comprehensive Income that comes from Net Income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2" authorId="0" shapeId="0" xr:uid="{00000000-0006-0000-0B00-000001000000}">
      <text>
        <r>
          <rPr>
            <sz val="11"/>
            <color theme="1"/>
            <rFont val="Calibri"/>
            <family val="2"/>
            <scheme val="minor"/>
          </rPr>
          <t xml:space="preserve">Watson, Ethan D.:
Insert actual year.  Eg. 2018.
</t>
        </r>
      </text>
    </comment>
    <comment ref="C2" authorId="0" shapeId="0" xr:uid="{00000000-0006-0000-0B00-000002000000}">
      <text>
        <r>
          <rPr>
            <sz val="11"/>
            <color theme="1"/>
            <rFont val="Calibri"/>
            <family val="2"/>
            <scheme val="minor"/>
          </rPr>
          <t xml:space="preserve">Watson, Ethan D.:
Insert actual year.  Eg. 2017.
</t>
        </r>
      </text>
    </comment>
    <comment ref="D2" authorId="0" shapeId="0" xr:uid="{00000000-0006-0000-0B00-000003000000}">
      <text>
        <r>
          <rPr>
            <sz val="11"/>
            <color theme="1"/>
            <rFont val="Calibri"/>
            <family val="2"/>
            <scheme val="minor"/>
          </rPr>
          <t xml:space="preserve">Watson, Ethan D.:
Insert actual year.  Eg. 2016.
</t>
        </r>
      </text>
    </comment>
    <comment ref="E2" authorId="0" shapeId="0" xr:uid="{00000000-0006-0000-0B00-000004000000}">
      <text>
        <r>
          <rPr>
            <sz val="11"/>
            <color theme="1"/>
            <rFont val="Calibri"/>
            <family val="2"/>
            <scheme val="minor"/>
          </rPr>
          <t xml:space="preserve">Watson, Ethan D.:
Insert actual year.  Eg. 2015.
</t>
        </r>
      </text>
    </comment>
    <comment ref="F2" authorId="0" shapeId="0" xr:uid="{00000000-0006-0000-0B00-000005000000}">
      <text>
        <r>
          <rPr>
            <sz val="11"/>
            <color theme="1"/>
            <rFont val="Calibri"/>
            <family val="2"/>
            <scheme val="minor"/>
          </rPr>
          <t xml:space="preserve">Watson, Ethan D.:
Insert actual year.  Eg. 2014.
</t>
        </r>
      </text>
    </comment>
    <comment ref="G2" authorId="0" shapeId="0" xr:uid="{00000000-0006-0000-0B00-000006000000}">
      <text>
        <r>
          <rPr>
            <sz val="11"/>
            <color theme="1"/>
            <rFont val="Calibri"/>
            <family val="2"/>
            <scheme val="minor"/>
          </rPr>
          <t xml:space="preserve">Watson, Ethan D.:
Insert actual year.  Eg. 2013.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1" authorId="0" shapeId="0" xr:uid="{00000000-0006-0000-0D00-000001000000}">
      <text>
        <r>
          <rPr>
            <sz val="11"/>
            <color theme="1"/>
            <rFont val="Calibri"/>
            <family val="2"/>
            <scheme val="minor"/>
          </rPr>
          <t>Watson, Ethan D.:
Note: by convention t=0 represent today…for our purposes it represents the latest year of data available.  
Also please note that companies can have different fiscal year ends.  Thus, you want to match the latest year for the two firms as closely as possible.</t>
        </r>
      </text>
    </comment>
    <comment ref="B2" authorId="0" shapeId="0" xr:uid="{00000000-0006-0000-0D00-000002000000}">
      <text>
        <r>
          <rPr>
            <sz val="11"/>
            <color theme="1"/>
            <rFont val="Calibri"/>
            <family val="2"/>
            <scheme val="minor"/>
          </rPr>
          <t xml:space="preserve">Watson, Ethan D.:
Insert actual year.  Eg. 2018.
</t>
        </r>
      </text>
    </comment>
    <comment ref="C2" authorId="0" shapeId="0" xr:uid="{00000000-0006-0000-0D00-000003000000}">
      <text>
        <r>
          <rPr>
            <sz val="11"/>
            <color theme="1"/>
            <rFont val="Calibri"/>
            <family val="2"/>
            <scheme val="minor"/>
          </rPr>
          <t xml:space="preserve">Watson, Ethan D.:
Insert actual year.  Eg. 2017.
</t>
        </r>
      </text>
    </comment>
    <comment ref="D2" authorId="0" shapeId="0" xr:uid="{00000000-0006-0000-0D00-000004000000}">
      <text>
        <r>
          <rPr>
            <sz val="11"/>
            <color theme="1"/>
            <rFont val="Calibri"/>
            <family val="2"/>
            <scheme val="minor"/>
          </rPr>
          <t xml:space="preserve">Watson, Ethan D.:
Insert actual year.  Eg. 2016.
</t>
        </r>
      </text>
    </comment>
    <comment ref="E2" authorId="0" shapeId="0" xr:uid="{00000000-0006-0000-0D00-000005000000}">
      <text>
        <r>
          <rPr>
            <sz val="11"/>
            <color theme="1"/>
            <rFont val="Calibri"/>
            <family val="2"/>
            <scheme val="minor"/>
          </rPr>
          <t xml:space="preserve">Watson, Ethan D.:
Insert actual year.  Eg. 2015.
</t>
        </r>
      </text>
    </comment>
    <comment ref="F2" authorId="0" shapeId="0" xr:uid="{00000000-0006-0000-0D00-000006000000}">
      <text>
        <r>
          <rPr>
            <sz val="11"/>
            <color theme="1"/>
            <rFont val="Calibri"/>
            <family val="2"/>
            <scheme val="minor"/>
          </rPr>
          <t xml:space="preserve">Watson, Ethan D.:
Insert actual year.  Eg. 2014.
</t>
        </r>
      </text>
    </comment>
    <comment ref="G2" authorId="0" shapeId="0" xr:uid="{00000000-0006-0000-0D00-000007000000}">
      <text>
        <r>
          <rPr>
            <sz val="11"/>
            <color theme="1"/>
            <rFont val="Calibri"/>
            <family val="2"/>
            <scheme val="minor"/>
          </rPr>
          <t xml:space="preserve">Watson, Ethan D.:
Insert actual year.  Eg. 2013.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1" authorId="0" shapeId="0" xr:uid="{2F6C241B-DF90-445B-88C2-43D18BF654F6}">
      <text>
        <r>
          <rPr>
            <sz val="11"/>
            <color theme="1"/>
            <rFont val="Calibri"/>
            <family val="2"/>
            <scheme val="minor"/>
          </rPr>
          <t>Watson, Ethan D.:
Note: by convention t=0 represent today…for our purposes it represents the latest year of data available.  
Also please note that companies can have different fiscal year ends.  Thus, you want to match the latest year for the two firms as closely as possible.</t>
        </r>
      </text>
    </comment>
    <comment ref="B2" authorId="0" shapeId="0" xr:uid="{4F328F26-811C-4C2B-9877-3B894FB11C26}">
      <text>
        <r>
          <rPr>
            <sz val="11"/>
            <color theme="1"/>
            <rFont val="Calibri"/>
            <family val="2"/>
            <scheme val="minor"/>
          </rPr>
          <t xml:space="preserve">Watson, Ethan D.:
Insert actual year.  Eg. 2018.
</t>
        </r>
      </text>
    </comment>
    <comment ref="C2" authorId="0" shapeId="0" xr:uid="{700DDF56-D0F1-423D-A53D-5DC4E2F46385}">
      <text>
        <r>
          <rPr>
            <sz val="11"/>
            <color theme="1"/>
            <rFont val="Calibri"/>
            <family val="2"/>
            <scheme val="minor"/>
          </rPr>
          <t xml:space="preserve">Watson, Ethan D.:
Insert actual year.  Eg. 2017.
</t>
        </r>
      </text>
    </comment>
    <comment ref="D2" authorId="0" shapeId="0" xr:uid="{11971C34-E20A-4C85-8D5B-8E79FD22202A}">
      <text>
        <r>
          <rPr>
            <sz val="11"/>
            <color theme="1"/>
            <rFont val="Calibri"/>
            <family val="2"/>
            <scheme val="minor"/>
          </rPr>
          <t xml:space="preserve">Watson, Ethan D.:
Insert actual year.  Eg. 2016.
</t>
        </r>
      </text>
    </comment>
    <comment ref="E2" authorId="0" shapeId="0" xr:uid="{23FCF50F-5D57-42A1-810C-8B5068B7E985}">
      <text>
        <r>
          <rPr>
            <sz val="11"/>
            <color theme="1"/>
            <rFont val="Calibri"/>
            <family val="2"/>
            <scheme val="minor"/>
          </rPr>
          <t xml:space="preserve">Watson, Ethan D.:
Insert actual year.  Eg. 2015.
</t>
        </r>
      </text>
    </comment>
    <comment ref="F2" authorId="0" shapeId="0" xr:uid="{33674AB9-3C7A-4E62-9E8D-935A7ACB5AA1}">
      <text>
        <r>
          <rPr>
            <sz val="11"/>
            <color theme="1"/>
            <rFont val="Calibri"/>
            <family val="2"/>
            <scheme val="minor"/>
          </rPr>
          <t xml:space="preserve">Watson, Ethan D.:
Insert actual year.  Eg. 2014.
</t>
        </r>
      </text>
    </comment>
    <comment ref="G2" authorId="0" shapeId="0" xr:uid="{9BF2544A-C7C1-49BC-A6E8-259283BDB294}">
      <text>
        <r>
          <rPr>
            <sz val="11"/>
            <color theme="1"/>
            <rFont val="Calibri"/>
            <family val="2"/>
            <scheme val="minor"/>
          </rPr>
          <t xml:space="preserve">Watson, Ethan D.:
Insert actual year.  Eg. 2013.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2" authorId="0" shapeId="0" xr:uid="{00000000-0006-0000-1000-000001000000}">
      <text>
        <r>
          <rPr>
            <sz val="11"/>
            <color theme="1"/>
            <rFont val="Calibri"/>
            <family val="2"/>
            <scheme val="minor"/>
          </rPr>
          <t xml:space="preserve">Watson, Ethan D.:
Insert actual year.  Eg. 2018.
</t>
        </r>
      </text>
    </comment>
    <comment ref="C2" authorId="0" shapeId="0" xr:uid="{00000000-0006-0000-1000-000002000000}">
      <text>
        <r>
          <rPr>
            <sz val="11"/>
            <color theme="1"/>
            <rFont val="Calibri"/>
            <family val="2"/>
            <scheme val="minor"/>
          </rPr>
          <t xml:space="preserve">Watson, Ethan D.:
Insert actual year.  Eg. 2017.
</t>
        </r>
      </text>
    </comment>
    <comment ref="D2" authorId="0" shapeId="0" xr:uid="{00000000-0006-0000-1000-000003000000}">
      <text>
        <r>
          <rPr>
            <sz val="11"/>
            <color theme="1"/>
            <rFont val="Calibri"/>
            <family val="2"/>
            <scheme val="minor"/>
          </rPr>
          <t xml:space="preserve">Watson, Ethan D.:
Insert actual year.  Eg. 2016.
</t>
        </r>
      </text>
    </comment>
    <comment ref="E2" authorId="0" shapeId="0" xr:uid="{00000000-0006-0000-1000-000004000000}">
      <text>
        <r>
          <rPr>
            <sz val="11"/>
            <color theme="1"/>
            <rFont val="Calibri"/>
            <family val="2"/>
            <scheme val="minor"/>
          </rPr>
          <t xml:space="preserve">Watson, Ethan D.:
Insert actual year.  Eg. 2015.
</t>
        </r>
      </text>
    </comment>
    <comment ref="F2" authorId="0" shapeId="0" xr:uid="{00000000-0006-0000-1000-000005000000}">
      <text>
        <r>
          <rPr>
            <sz val="11"/>
            <color theme="1"/>
            <rFont val="Calibri"/>
            <family val="2"/>
            <scheme val="minor"/>
          </rPr>
          <t xml:space="preserve">Watson, Ethan D.:
Insert actual year.  Eg. 2014.
</t>
        </r>
      </text>
    </comment>
    <comment ref="G2" authorId="0" shapeId="0" xr:uid="{00000000-0006-0000-1000-000006000000}">
      <text>
        <r>
          <rPr>
            <sz val="11"/>
            <color theme="1"/>
            <rFont val="Calibri"/>
            <family val="2"/>
            <scheme val="minor"/>
          </rPr>
          <t xml:space="preserve">Watson, Ethan D.:
Insert actual year.  Eg. 2013.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A1" authorId="0" shapeId="0" xr:uid="{00000000-0006-0000-1200-000001000000}">
      <text>
        <r>
          <rPr>
            <sz val="11"/>
            <color theme="1"/>
            <rFont val="Calibri"/>
            <family val="2"/>
            <scheme val="minor"/>
          </rPr>
          <t>Watson, Ethan D.:
There is no standard setting body for financial ratios, which leads to situations where a ratio may be called the same thing but calculated differently.  For this class our "standard setting body" is my lecture slides and/or the text.</t>
        </r>
      </text>
    </comment>
    <comment ref="A9" authorId="0" shapeId="0" xr:uid="{00000000-0006-0000-1200-000008000000}">
      <text>
        <r>
          <rPr>
            <sz val="11"/>
            <color theme="1"/>
            <rFont val="Calibri"/>
            <family val="2"/>
            <scheme val="minor"/>
          </rPr>
          <t xml:space="preserve">Watson, Ethan D.:
See notes/text for formulas.  There are other measures that are called the Debt coverage and interest coverage, etc.   These are referring to the CFO measures from the notes/text in the Understanding the Cash Flow Statement chapter.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2" authorId="0" shapeId="0" xr:uid="{00000000-0006-0000-1100-000001000000}">
      <text>
        <r>
          <rPr>
            <sz val="11"/>
            <color theme="1"/>
            <rFont val="Calibri"/>
            <family val="2"/>
            <scheme val="minor"/>
          </rPr>
          <t xml:space="preserve">Watson, Ethan D.:
Insert actual year.  Eg. 2018.
</t>
        </r>
      </text>
    </comment>
    <comment ref="C2" authorId="0" shapeId="0" xr:uid="{00000000-0006-0000-1100-000002000000}">
      <text>
        <r>
          <rPr>
            <sz val="11"/>
            <color theme="1"/>
            <rFont val="Calibri"/>
            <family val="2"/>
            <scheme val="minor"/>
          </rPr>
          <t xml:space="preserve">Watson, Ethan D.:
Insert actual year.  Eg. 2017.
</t>
        </r>
      </text>
    </comment>
    <comment ref="D2" authorId="0" shapeId="0" xr:uid="{00000000-0006-0000-1100-000003000000}">
      <text>
        <r>
          <rPr>
            <sz val="11"/>
            <color theme="1"/>
            <rFont val="Calibri"/>
            <family val="2"/>
            <scheme val="minor"/>
          </rPr>
          <t xml:space="preserve">Watson, Ethan D.:
Insert actual year.  Eg. 2016.
</t>
        </r>
      </text>
    </comment>
    <comment ref="E2" authorId="0" shapeId="0" xr:uid="{00000000-0006-0000-1100-000004000000}">
      <text>
        <r>
          <rPr>
            <sz val="11"/>
            <color theme="1"/>
            <rFont val="Calibri"/>
            <family val="2"/>
            <scheme val="minor"/>
          </rPr>
          <t xml:space="preserve">Watson, Ethan D.:
Insert actual year.  Eg. 2015.
</t>
        </r>
      </text>
    </comment>
    <comment ref="F2" authorId="0" shapeId="0" xr:uid="{00000000-0006-0000-1100-000005000000}">
      <text>
        <r>
          <rPr>
            <sz val="11"/>
            <color theme="1"/>
            <rFont val="Calibri"/>
            <family val="2"/>
            <scheme val="minor"/>
          </rPr>
          <t xml:space="preserve">Watson, Ethan D.:
Insert actual year.  Eg. 2014.
</t>
        </r>
      </text>
    </comment>
    <comment ref="G2" authorId="0" shapeId="0" xr:uid="{00000000-0006-0000-1100-000006000000}">
      <text>
        <r>
          <rPr>
            <sz val="11"/>
            <color theme="1"/>
            <rFont val="Calibri"/>
            <family val="2"/>
            <scheme val="minor"/>
          </rPr>
          <t xml:space="preserve">Watson, Ethan D.:
Insert actual year.  Eg. 2013.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5" authorId="0" shapeId="0" xr:uid="{00000000-0006-0000-1300-000001000000}">
      <text>
        <r>
          <rPr>
            <sz val="11"/>
            <color theme="1"/>
            <rFont val="Calibri"/>
            <family val="2"/>
            <scheme val="minor"/>
          </rPr>
          <t xml:space="preserve">Watson, Ethan D.:
You may not be able to find the numbers that you need to complete this since firms don't usually report Wage Expense.  I want you to search the 10k's for Wage Expense, but if you can't find it then it is acceptable to put N/A - not applicable here.
</t>
        </r>
      </text>
    </comment>
    <comment ref="B6" authorId="0" shapeId="0" xr:uid="{00000000-0006-0000-1300-000002000000}">
      <text>
        <r>
          <rPr>
            <sz val="11"/>
            <color theme="1"/>
            <rFont val="Calibri"/>
            <family val="2"/>
            <scheme val="minor"/>
          </rPr>
          <t xml:space="preserve">Watson, Ethan D.:
If you can't find Wage Expense (see comment in cell above) you won't really be able to get this number since Other Op Exp represents (operating expense -depreciation - wage expense)…thus, I want you to look through your 10ks for wage expense but if you can't find it then it is acceptable to put N/A- not applicable here
</t>
        </r>
      </text>
    </comment>
    <comment ref="B17" authorId="0" shapeId="0" xr:uid="{00000000-0006-0000-1300-000003000000}">
      <text>
        <r>
          <rPr>
            <sz val="11"/>
            <color theme="1"/>
            <rFont val="Calibri"/>
            <family val="2"/>
            <scheme val="minor"/>
          </rPr>
          <t xml:space="preserve">Watson, Ethan D.:
Insert revenues from income statement
</t>
        </r>
      </text>
    </comment>
    <comment ref="C24" authorId="0" shapeId="0" xr:uid="{00000000-0006-0000-1300-000004000000}">
      <text>
        <r>
          <rPr>
            <sz val="11"/>
            <color theme="1"/>
            <rFont val="Calibri"/>
            <family val="2"/>
            <scheme val="minor"/>
          </rPr>
          <t xml:space="preserve">Watson, Ethan D.:
Insert formula depending on increase or decrease in inventories
</t>
        </r>
      </text>
    </comment>
    <comment ref="C26" authorId="0" shapeId="0" xr:uid="{00000000-0006-0000-1300-000005000000}">
      <text>
        <r>
          <rPr>
            <sz val="11"/>
            <color theme="1"/>
            <rFont val="Calibri"/>
            <family val="2"/>
            <scheme val="minor"/>
          </rPr>
          <t xml:space="preserve">Watson, Ethan D.:
Insert Formula depending on whether there was an increase or decrease in Payables
</t>
        </r>
      </text>
    </comment>
    <comment ref="C31" authorId="0" shapeId="0" xr:uid="{00000000-0006-0000-1300-000006000000}">
      <text>
        <r>
          <rPr>
            <sz val="11"/>
            <color theme="1"/>
            <rFont val="Calibri"/>
            <family val="2"/>
            <scheme val="minor"/>
          </rPr>
          <t xml:space="preserve">Watson, Ethan D.:
Insert formula depending on increase or decrease in Wage Expense.
Note: you likely won't find the Salary and Wage Expense, so if need be you can back into this number if you know the other parts….otherwise you can leave as "N/A"…not available.
</t>
        </r>
      </text>
    </comment>
    <comment ref="C37" authorId="0" shapeId="0" xr:uid="{00000000-0006-0000-1300-000007000000}">
      <text>
        <r>
          <rPr>
            <sz val="11"/>
            <color theme="1"/>
            <rFont val="Calibri"/>
            <family val="2"/>
            <scheme val="minor"/>
          </rPr>
          <t xml:space="preserve">Watson, Ethan D.:
Insert formula depending on increase or decrease in Prepaid expenses and Accrued liabilities.
</t>
        </r>
      </text>
    </comment>
    <comment ref="C42" authorId="0" shapeId="0" xr:uid="{00000000-0006-0000-1300-000008000000}">
      <text>
        <r>
          <rPr>
            <sz val="11"/>
            <color theme="1"/>
            <rFont val="Calibri"/>
            <family val="2"/>
            <scheme val="minor"/>
          </rPr>
          <t xml:space="preserve">Watson, Ethan D.:
Insert Formula depending on increase or decrease in payables.
</t>
        </r>
      </text>
    </comment>
    <comment ref="C48" authorId="0" shapeId="0" xr:uid="{00000000-0006-0000-1300-000009000000}">
      <text>
        <r>
          <rPr>
            <sz val="11"/>
            <color theme="1"/>
            <rFont val="Calibri"/>
            <family val="2"/>
            <scheme val="minor"/>
          </rPr>
          <t>Watson, Ethan D.:
Insert Formula depending on increase or decrease in payables.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A1" authorId="0" shapeId="0" xr:uid="{00000000-0006-0000-1A00-000001000000}">
      <text>
        <r>
          <rPr>
            <sz val="11"/>
            <color theme="1"/>
            <rFont val="Calibri"/>
            <family val="2"/>
            <scheme val="minor"/>
          </rPr>
          <t>Watson, Ethan D.:
There is no standard setting body for financial ratios, which leads to situations where a ratio may be called the same thing but calculated differently.  For this class our "standard setting body" is my lecture slides and/or the text.</t>
        </r>
      </text>
    </comment>
    <comment ref="B3" authorId="0" shapeId="0" xr:uid="{00000000-0006-0000-1A00-000002000000}">
      <text>
        <r>
          <rPr>
            <sz val="11"/>
            <color theme="1"/>
            <rFont val="Calibri"/>
            <family val="2"/>
            <scheme val="minor"/>
          </rPr>
          <t xml:space="preserve">Watson, Ethan D.:
Insert actual year.  Eg. 2018.
</t>
        </r>
      </text>
    </comment>
    <comment ref="C3" authorId="0" shapeId="0" xr:uid="{00000000-0006-0000-1A00-000003000000}">
      <text>
        <r>
          <rPr>
            <sz val="11"/>
            <color theme="1"/>
            <rFont val="Calibri"/>
            <family val="2"/>
            <scheme val="minor"/>
          </rPr>
          <t xml:space="preserve">Watson, Ethan D.:
Insert actual year.  Eg. 2017.
</t>
        </r>
      </text>
    </comment>
    <comment ref="D3" authorId="0" shapeId="0" xr:uid="{00000000-0006-0000-1A00-000004000000}">
      <text>
        <r>
          <rPr>
            <sz val="11"/>
            <color theme="1"/>
            <rFont val="Calibri"/>
            <family val="2"/>
            <scheme val="minor"/>
          </rPr>
          <t xml:space="preserve">Watson, Ethan D.:
Insert actual year.  Eg. 2016.
</t>
        </r>
      </text>
    </comment>
    <comment ref="E3" authorId="0" shapeId="0" xr:uid="{00000000-0006-0000-1A00-000005000000}">
      <text>
        <r>
          <rPr>
            <sz val="11"/>
            <color theme="1"/>
            <rFont val="Calibri"/>
            <family val="2"/>
            <scheme val="minor"/>
          </rPr>
          <t xml:space="preserve">Watson, Ethan D.:
Insert actual year.  Eg. 2015.
</t>
        </r>
      </text>
    </comment>
    <comment ref="F3" authorId="0" shapeId="0" xr:uid="{00000000-0006-0000-1A00-000006000000}">
      <text>
        <r>
          <rPr>
            <sz val="11"/>
            <color theme="1"/>
            <rFont val="Calibri"/>
            <family val="2"/>
            <scheme val="minor"/>
          </rPr>
          <t xml:space="preserve">Watson, Ethan D.:
Insert actual year.  Eg. 2014.
</t>
        </r>
      </text>
    </comment>
    <comment ref="G3" authorId="0" shapeId="0" xr:uid="{00000000-0006-0000-1A00-000007000000}">
      <text>
        <r>
          <rPr>
            <sz val="11"/>
            <color theme="1"/>
            <rFont val="Calibri"/>
            <family val="2"/>
            <scheme val="minor"/>
          </rPr>
          <t xml:space="preserve">Watson, Ethan D.:
Insert actual year.  Eg. 2013.
</t>
        </r>
      </text>
    </comment>
    <comment ref="B18" authorId="0" shapeId="0" xr:uid="{113E549B-F2AF-47F3-BF07-CF004A71D636}">
      <text>
        <r>
          <rPr>
            <sz val="11"/>
            <color theme="1"/>
            <rFont val="Calibri"/>
            <family val="2"/>
            <scheme val="minor"/>
          </rPr>
          <t xml:space="preserve">Watson, Ethan D.:
Insert actual year.  Eg. 2018.
</t>
        </r>
      </text>
    </comment>
    <comment ref="C18" authorId="0" shapeId="0" xr:uid="{559471EF-E47E-49D3-A10F-99B9C786F5D6}">
      <text>
        <r>
          <rPr>
            <sz val="11"/>
            <color theme="1"/>
            <rFont val="Calibri"/>
            <family val="2"/>
            <scheme val="minor"/>
          </rPr>
          <t xml:space="preserve">Watson, Ethan D.:
Insert actual year.  Eg. 2017.
</t>
        </r>
      </text>
    </comment>
    <comment ref="D18" authorId="0" shapeId="0" xr:uid="{B0E7D34C-66C9-4DFE-B7A1-FED9B5F98B87}">
      <text>
        <r>
          <rPr>
            <sz val="11"/>
            <color theme="1"/>
            <rFont val="Calibri"/>
            <family val="2"/>
            <scheme val="minor"/>
          </rPr>
          <t xml:space="preserve">Watson, Ethan D.:
Insert actual year.  Eg. 2016.
</t>
        </r>
      </text>
    </comment>
    <comment ref="E18" authorId="0" shapeId="0" xr:uid="{C9CD13E8-B4A5-4B3B-99C5-1BE7CBFD8411}">
      <text>
        <r>
          <rPr>
            <sz val="11"/>
            <color theme="1"/>
            <rFont val="Calibri"/>
            <family val="2"/>
            <scheme val="minor"/>
          </rPr>
          <t xml:space="preserve">Watson, Ethan D.:
Insert actual year.  Eg. 2015.
</t>
        </r>
      </text>
    </comment>
    <comment ref="F18" authorId="0" shapeId="0" xr:uid="{41F3ED60-22C5-4535-A674-6BF229C2692C}">
      <text>
        <r>
          <rPr>
            <sz val="11"/>
            <color theme="1"/>
            <rFont val="Calibri"/>
            <family val="2"/>
            <scheme val="minor"/>
          </rPr>
          <t xml:space="preserve">Watson, Ethan D.:
Insert actual year.  Eg. 2014.
</t>
        </r>
      </text>
    </comment>
    <comment ref="G18" authorId="0" shapeId="0" xr:uid="{6493F129-2748-4EE9-B0FF-8B823FDF79B4}">
      <text>
        <r>
          <rPr>
            <sz val="11"/>
            <color theme="1"/>
            <rFont val="Calibri"/>
            <family val="2"/>
            <scheme val="minor"/>
          </rPr>
          <t xml:space="preserve">Watson, Ethan D.:
Insert actual year.  Eg. 2013.
</t>
        </r>
      </text>
    </comment>
    <comment ref="B39" authorId="0" shapeId="0" xr:uid="{7A8905C8-8F83-44A8-A8DB-420ECC107770}">
      <text>
        <r>
          <rPr>
            <sz val="11"/>
            <color theme="1"/>
            <rFont val="Calibri"/>
            <family val="2"/>
            <scheme val="minor"/>
          </rPr>
          <t xml:space="preserve">Watson, Ethan D.:
Insert actual year.  Eg. 2018.
</t>
        </r>
      </text>
    </comment>
    <comment ref="C39" authorId="0" shapeId="0" xr:uid="{061347F8-8E5D-4307-8329-3E15A4327673}">
      <text>
        <r>
          <rPr>
            <sz val="11"/>
            <color theme="1"/>
            <rFont val="Calibri"/>
            <family val="2"/>
            <scheme val="minor"/>
          </rPr>
          <t xml:space="preserve">Watson, Ethan D.:
Insert actual year.  Eg. 2017.
</t>
        </r>
      </text>
    </comment>
    <comment ref="D39" authorId="0" shapeId="0" xr:uid="{0C2BE4EB-F531-4D46-8109-EDCDC4C3F8C1}">
      <text>
        <r>
          <rPr>
            <sz val="11"/>
            <color theme="1"/>
            <rFont val="Calibri"/>
            <family val="2"/>
            <scheme val="minor"/>
          </rPr>
          <t xml:space="preserve">Watson, Ethan D.:
Insert actual year.  Eg. 2016.
</t>
        </r>
      </text>
    </comment>
    <comment ref="E39" authorId="0" shapeId="0" xr:uid="{EFB91F29-B8D3-48FB-A7D1-6359B162E3DD}">
      <text>
        <r>
          <rPr>
            <sz val="11"/>
            <color theme="1"/>
            <rFont val="Calibri"/>
            <family val="2"/>
            <scheme val="minor"/>
          </rPr>
          <t xml:space="preserve">Watson, Ethan D.:
Insert actual year.  Eg. 2015.
</t>
        </r>
      </text>
    </comment>
    <comment ref="F39" authorId="0" shapeId="0" xr:uid="{9763EB7A-DC8C-42E1-BAB7-17545C1101A2}">
      <text>
        <r>
          <rPr>
            <sz val="11"/>
            <color theme="1"/>
            <rFont val="Calibri"/>
            <family val="2"/>
            <scheme val="minor"/>
          </rPr>
          <t xml:space="preserve">Watson, Ethan D.:
Insert actual year.  Eg. 2014.
</t>
        </r>
      </text>
    </comment>
    <comment ref="G39" authorId="0" shapeId="0" xr:uid="{50B897DC-B326-4879-B67E-411B32A34228}">
      <text>
        <r>
          <rPr>
            <sz val="11"/>
            <color theme="1"/>
            <rFont val="Calibri"/>
            <family val="2"/>
            <scheme val="minor"/>
          </rPr>
          <t xml:space="preserve">Watson, Ethan D.:
Insert actual year.  Eg. 2013.
</t>
        </r>
      </text>
    </comment>
    <comment ref="A40" authorId="0" shapeId="0" xr:uid="{00000000-0006-0000-1A00-000014000000}">
      <text>
        <r>
          <rPr>
            <sz val="11"/>
            <color theme="1"/>
            <rFont val="Calibri"/>
            <family val="2"/>
            <scheme val="minor"/>
          </rPr>
          <t xml:space="preserve">Watson, Ethan D.:
Note you have many of  these from an earlier analysis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A1" authorId="0" shapeId="0" xr:uid="{00000000-0006-0000-1B00-000001000000}">
      <text>
        <r>
          <rPr>
            <sz val="11"/>
            <color theme="1"/>
            <rFont val="Calibri"/>
            <family val="2"/>
            <scheme val="minor"/>
          </rPr>
          <t>Watson, Ethan D.:
There is no standard setting body for financial ratios, which leads to situations where a ratio may be called the same thing but calculated differently.  For this class our "standard setting body" is my lecture slides and/or the text.</t>
        </r>
      </text>
    </comment>
    <comment ref="B3" authorId="0" shapeId="0" xr:uid="{BD318D24-67ED-44BF-A17F-0CCD4FD5676F}">
      <text>
        <r>
          <rPr>
            <sz val="11"/>
            <color theme="1"/>
            <rFont val="Calibri"/>
            <family val="2"/>
            <scheme val="minor"/>
          </rPr>
          <t xml:space="preserve">Watson, Ethan D.:
Insert actual year.  Eg. 2018.
</t>
        </r>
      </text>
    </comment>
    <comment ref="C3" authorId="0" shapeId="0" xr:uid="{DAB62FFD-7048-4C1C-860D-4243CD53D132}">
      <text>
        <r>
          <rPr>
            <sz val="11"/>
            <color theme="1"/>
            <rFont val="Calibri"/>
            <family val="2"/>
            <scheme val="minor"/>
          </rPr>
          <t xml:space="preserve">Watson, Ethan D.:
Insert actual year.  Eg. 2017.
</t>
        </r>
      </text>
    </comment>
    <comment ref="D3" authorId="0" shapeId="0" xr:uid="{77BE06C7-6A06-47DF-876D-FD6A824E3BEB}">
      <text>
        <r>
          <rPr>
            <sz val="11"/>
            <color theme="1"/>
            <rFont val="Calibri"/>
            <family val="2"/>
            <scheme val="minor"/>
          </rPr>
          <t xml:space="preserve">Watson, Ethan D.:
Insert actual year.  Eg. 2016.
</t>
        </r>
      </text>
    </comment>
    <comment ref="E3" authorId="0" shapeId="0" xr:uid="{36113482-E1B1-46AC-8AE9-761F12000C11}">
      <text>
        <r>
          <rPr>
            <sz val="11"/>
            <color theme="1"/>
            <rFont val="Calibri"/>
            <family val="2"/>
            <scheme val="minor"/>
          </rPr>
          <t xml:space="preserve">Watson, Ethan D.:
Insert actual year.  Eg. 2015.
</t>
        </r>
      </text>
    </comment>
    <comment ref="F3" authorId="0" shapeId="0" xr:uid="{70EA0A84-B8CC-4EAA-A732-D1198FF2A9C0}">
      <text>
        <r>
          <rPr>
            <sz val="11"/>
            <color theme="1"/>
            <rFont val="Calibri"/>
            <family val="2"/>
            <scheme val="minor"/>
          </rPr>
          <t xml:space="preserve">Watson, Ethan D.:
Insert actual year.  Eg. 2014.
</t>
        </r>
      </text>
    </comment>
    <comment ref="G3" authorId="0" shapeId="0" xr:uid="{F3D54512-7795-4125-892C-2AFDE2D5D8E9}">
      <text>
        <r>
          <rPr>
            <sz val="11"/>
            <color theme="1"/>
            <rFont val="Calibri"/>
            <family val="2"/>
            <scheme val="minor"/>
          </rPr>
          <t xml:space="preserve">Watson, Ethan D.:
Insert actual year.  Eg. 2013.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A1" authorId="0" shapeId="0" xr:uid="{00000000-0006-0000-1C00-000001000000}">
      <text>
        <r>
          <rPr>
            <sz val="11"/>
            <color theme="1"/>
            <rFont val="Calibri"/>
            <family val="2"/>
            <scheme val="minor"/>
          </rPr>
          <t>Watson, Ethan D.:
There is no standard setting body for financial ratios, which leads to situations where a ratio may be called the same thing but calculated differently.  For this class our "standard setting body" is my lecture slides and/or the text.</t>
        </r>
      </text>
    </comment>
    <comment ref="B3" authorId="0" shapeId="0" xr:uid="{B7602B46-4FBF-43FD-AE55-52A22E2EA1C4}">
      <text>
        <r>
          <rPr>
            <sz val="11"/>
            <color theme="1"/>
            <rFont val="Calibri"/>
            <family val="2"/>
            <scheme val="minor"/>
          </rPr>
          <t xml:space="preserve">Watson, Ethan D.:
Insert actual year.  Eg. 2018.
</t>
        </r>
      </text>
    </comment>
    <comment ref="C3" authorId="0" shapeId="0" xr:uid="{71D784AC-FCED-4902-9D4A-1C9F53CA1B43}">
      <text>
        <r>
          <rPr>
            <sz val="11"/>
            <color theme="1"/>
            <rFont val="Calibri"/>
            <family val="2"/>
            <scheme val="minor"/>
          </rPr>
          <t xml:space="preserve">Watson, Ethan D.:
Insert actual year.  Eg. 2017.
</t>
        </r>
      </text>
    </comment>
    <comment ref="D3" authorId="0" shapeId="0" xr:uid="{657ECF92-9296-43E5-9FEB-E41940B6B36E}">
      <text>
        <r>
          <rPr>
            <sz val="11"/>
            <color theme="1"/>
            <rFont val="Calibri"/>
            <family val="2"/>
            <scheme val="minor"/>
          </rPr>
          <t xml:space="preserve">Watson, Ethan D.:
Insert actual year.  Eg. 2016.
</t>
        </r>
      </text>
    </comment>
    <comment ref="E3" authorId="0" shapeId="0" xr:uid="{C33CB3A6-1A7F-4F20-856B-FE156590AF02}">
      <text>
        <r>
          <rPr>
            <sz val="11"/>
            <color theme="1"/>
            <rFont val="Calibri"/>
            <family val="2"/>
            <scheme val="minor"/>
          </rPr>
          <t xml:space="preserve">Watson, Ethan D.:
Insert actual year.  Eg. 2015.
</t>
        </r>
      </text>
    </comment>
    <comment ref="F3" authorId="0" shapeId="0" xr:uid="{59A543D5-C441-44D0-B6F0-C498A1144CAF}">
      <text>
        <r>
          <rPr>
            <sz val="11"/>
            <color theme="1"/>
            <rFont val="Calibri"/>
            <family val="2"/>
            <scheme val="minor"/>
          </rPr>
          <t xml:space="preserve">Watson, Ethan D.:
Insert actual year.  Eg. 2014.
</t>
        </r>
      </text>
    </comment>
    <comment ref="G3" authorId="0" shapeId="0" xr:uid="{E82AF244-A452-4E68-BA90-9DABBCDCC2BA}">
      <text>
        <r>
          <rPr>
            <sz val="11"/>
            <color theme="1"/>
            <rFont val="Calibri"/>
            <family val="2"/>
            <scheme val="minor"/>
          </rPr>
          <t xml:space="preserve">Watson, Ethan D.:
Insert actual year.  Eg. 2013.
</t>
        </r>
      </text>
    </comment>
    <comment ref="A4" authorId="0" shapeId="0" xr:uid="{00000000-0006-0000-1C00-000008000000}">
      <text>
        <r>
          <rPr>
            <sz val="11"/>
            <color theme="1"/>
            <rFont val="Calibri"/>
            <family val="2"/>
            <scheme val="minor"/>
          </rPr>
          <t>Watson, Ethan D.:
Note: you have these from earlier analysis….so you can insert dynamic formulas that reference back to your earlier analysis.</t>
        </r>
      </text>
    </comment>
    <comment ref="B10" authorId="0" shapeId="0" xr:uid="{93260C04-2C85-47E4-A6F9-AA3F8D496241}">
      <text>
        <r>
          <rPr>
            <sz val="11"/>
            <color theme="1"/>
            <rFont val="Calibri"/>
            <family val="2"/>
            <scheme val="minor"/>
          </rPr>
          <t xml:space="preserve">Watson, Ethan D.:
Insert actual year.  Eg. 2018.
</t>
        </r>
      </text>
    </comment>
    <comment ref="C10" authorId="0" shapeId="0" xr:uid="{42EDDC32-16DC-46B0-A8B9-D283080BBC7E}">
      <text>
        <r>
          <rPr>
            <sz val="11"/>
            <color theme="1"/>
            <rFont val="Calibri"/>
            <family val="2"/>
            <scheme val="minor"/>
          </rPr>
          <t xml:space="preserve">Watson, Ethan D.:
Insert actual year.  Eg. 2017.
</t>
        </r>
      </text>
    </comment>
    <comment ref="D10" authorId="0" shapeId="0" xr:uid="{B5EFA90F-D8A7-4901-BC4C-F8163507D380}">
      <text>
        <r>
          <rPr>
            <sz val="11"/>
            <color theme="1"/>
            <rFont val="Calibri"/>
            <family val="2"/>
            <scheme val="minor"/>
          </rPr>
          <t xml:space="preserve">Watson, Ethan D.:
Insert actual year.  Eg. 2016.
</t>
        </r>
      </text>
    </comment>
    <comment ref="E10" authorId="0" shapeId="0" xr:uid="{B64AF187-6786-470C-8971-6B498FFA9422}">
      <text>
        <r>
          <rPr>
            <sz val="11"/>
            <color theme="1"/>
            <rFont val="Calibri"/>
            <family val="2"/>
            <scheme val="minor"/>
          </rPr>
          <t xml:space="preserve">Watson, Ethan D.:
Insert actual year.  Eg. 2015.
</t>
        </r>
      </text>
    </comment>
    <comment ref="F10" authorId="0" shapeId="0" xr:uid="{97A19938-2280-4209-A700-E9E98B87C73A}">
      <text>
        <r>
          <rPr>
            <sz val="11"/>
            <color theme="1"/>
            <rFont val="Calibri"/>
            <family val="2"/>
            <scheme val="minor"/>
          </rPr>
          <t xml:space="preserve">Watson, Ethan D.:
Insert actual year.  Eg. 2014.
</t>
        </r>
      </text>
    </comment>
    <comment ref="G10" authorId="0" shapeId="0" xr:uid="{0F1C1FFF-564C-46F9-8536-015FD6FFD6D4}">
      <text>
        <r>
          <rPr>
            <sz val="11"/>
            <color theme="1"/>
            <rFont val="Calibri"/>
            <family val="2"/>
            <scheme val="minor"/>
          </rPr>
          <t xml:space="preserve">Watson, Ethan D.:
Insert actual year.  Eg. 2013.
</t>
        </r>
      </text>
    </comment>
    <comment ref="A12" authorId="0" shapeId="0" xr:uid="{00000000-0006-0000-1C00-00000F000000}">
      <text>
        <r>
          <rPr>
            <sz val="11"/>
            <color theme="1"/>
            <rFont val="Calibri"/>
            <family val="2"/>
            <scheme val="minor"/>
          </rPr>
          <t xml:space="preserve">Watson, Ethan D.:
Note: you may have some of these from earlier analysis….insert dynamic formulas to reference back
</t>
        </r>
      </text>
    </comment>
    <comment ref="C24" authorId="0" shapeId="0" xr:uid="{9C0AB7E0-0DC1-4245-B457-0BCBB2BFE135}">
      <text>
        <r>
          <rPr>
            <sz val="11"/>
            <color theme="1"/>
            <rFont val="Calibri"/>
            <family val="2"/>
            <scheme val="minor"/>
          </rPr>
          <t xml:space="preserve">Watson, Ethan D.:
Insert actual year.  Eg. 2018.
</t>
        </r>
      </text>
    </comment>
    <comment ref="D24" authorId="0" shapeId="0" xr:uid="{0D9179CB-77F7-4E4C-A974-E8CB148E1F0F}">
      <text>
        <r>
          <rPr>
            <sz val="11"/>
            <color theme="1"/>
            <rFont val="Calibri"/>
            <family val="2"/>
            <scheme val="minor"/>
          </rPr>
          <t xml:space="preserve">Watson, Ethan D.:
Insert actual year.  Eg. 2017.
</t>
        </r>
      </text>
    </comment>
    <comment ref="E24" authorId="0" shapeId="0" xr:uid="{266EA446-64E8-4DFC-BC4D-CA8BDF51B14B}">
      <text>
        <r>
          <rPr>
            <sz val="11"/>
            <color theme="1"/>
            <rFont val="Calibri"/>
            <family val="2"/>
            <scheme val="minor"/>
          </rPr>
          <t xml:space="preserve">Watson, Ethan D.:
Insert actual year.  Eg. 2016.
</t>
        </r>
      </text>
    </comment>
    <comment ref="F24" authorId="0" shapeId="0" xr:uid="{33D5386B-CB0B-4677-AEF2-15BBBB8C6C6F}">
      <text>
        <r>
          <rPr>
            <sz val="11"/>
            <color theme="1"/>
            <rFont val="Calibri"/>
            <family val="2"/>
            <scheme val="minor"/>
          </rPr>
          <t xml:space="preserve">Watson, Ethan D.:
Insert actual year.  Eg. 2015.
</t>
        </r>
      </text>
    </comment>
    <comment ref="G24" authorId="0" shapeId="0" xr:uid="{5745FA1F-963E-40A7-B49E-FE6AEE7B6947}">
      <text>
        <r>
          <rPr>
            <sz val="11"/>
            <color theme="1"/>
            <rFont val="Calibri"/>
            <family val="2"/>
            <scheme val="minor"/>
          </rPr>
          <t xml:space="preserve">Watson, Ethan D.:
Insert actual year.  Eg. 2014.
</t>
        </r>
      </text>
    </comment>
    <comment ref="H24" authorId="0" shapeId="0" xr:uid="{B59D451C-C1C7-496F-A5F6-26D536D3E5EC}">
      <text>
        <r>
          <rPr>
            <sz val="11"/>
            <color theme="1"/>
            <rFont val="Calibri"/>
            <family val="2"/>
            <scheme val="minor"/>
          </rPr>
          <t xml:space="preserve">Watson, Ethan D.:
Insert actual year.  Eg. 2013.
</t>
        </r>
      </text>
    </comment>
    <comment ref="B36" authorId="0" shapeId="0" xr:uid="{B2540B8F-6597-4152-AFFB-C3B0CA8A766A}">
      <text>
        <r>
          <rPr>
            <sz val="11"/>
            <color theme="1"/>
            <rFont val="Calibri"/>
            <family val="2"/>
            <scheme val="minor"/>
          </rPr>
          <t xml:space="preserve">Watson, Ethan D.:
Insert actual year.  Eg. 2018.
</t>
        </r>
      </text>
    </comment>
    <comment ref="C36" authorId="0" shapeId="0" xr:uid="{2FC87C65-A3E9-4742-868D-6DE0D307C812}">
      <text>
        <r>
          <rPr>
            <sz val="11"/>
            <color theme="1"/>
            <rFont val="Calibri"/>
            <family val="2"/>
            <scheme val="minor"/>
          </rPr>
          <t xml:space="preserve">Watson, Ethan D.:
Insert actual year.  Eg. 2017.
</t>
        </r>
      </text>
    </comment>
    <comment ref="D36" authorId="0" shapeId="0" xr:uid="{850D910F-0E2B-43D2-8D47-8B61B3153DAA}">
      <text>
        <r>
          <rPr>
            <sz val="11"/>
            <color theme="1"/>
            <rFont val="Calibri"/>
            <family val="2"/>
            <scheme val="minor"/>
          </rPr>
          <t xml:space="preserve">Watson, Ethan D.:
Insert actual year.  Eg. 2016.
</t>
        </r>
      </text>
    </comment>
    <comment ref="E36" authorId="0" shapeId="0" xr:uid="{9FA4F984-7437-4CC3-89EC-66FA46598A48}">
      <text>
        <r>
          <rPr>
            <sz val="11"/>
            <color theme="1"/>
            <rFont val="Calibri"/>
            <family val="2"/>
            <scheme val="minor"/>
          </rPr>
          <t xml:space="preserve">Watson, Ethan D.:
Insert actual year.  Eg. 2015.
</t>
        </r>
      </text>
    </comment>
    <comment ref="F36" authorId="0" shapeId="0" xr:uid="{A4522519-A626-4E34-B084-40FF694FB53A}">
      <text>
        <r>
          <rPr>
            <sz val="11"/>
            <color theme="1"/>
            <rFont val="Calibri"/>
            <family val="2"/>
            <scheme val="minor"/>
          </rPr>
          <t xml:space="preserve">Watson, Ethan D.:
Insert actual year.  Eg. 2014.
</t>
        </r>
      </text>
    </comment>
    <comment ref="G36" authorId="0" shapeId="0" xr:uid="{E56B07B6-FD5F-428D-A6E7-9E3986E979E0}">
      <text>
        <r>
          <rPr>
            <sz val="11"/>
            <color theme="1"/>
            <rFont val="Calibri"/>
            <family val="2"/>
            <scheme val="minor"/>
          </rPr>
          <t xml:space="preserve">Watson, Ethan D.:
Insert actual year.  Eg. 2013.
</t>
        </r>
      </text>
    </comment>
    <comment ref="A38" authorId="0" shapeId="0" xr:uid="{00000000-0006-0000-1C00-00001F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41" authorId="0" shapeId="0" xr:uid="{00000000-0006-0000-1C00-000020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44" authorId="0" shapeId="0" xr:uid="{00000000-0006-0000-1C00-000021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50" authorId="0" shapeId="0" xr:uid="{00000000-0006-0000-1C00-000022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56" authorId="0" shapeId="0" xr:uid="{00000000-0006-0000-1C00-000023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59" authorId="0" shapeId="0" xr:uid="{00000000-0006-0000-1C00-000024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62" authorId="0" shapeId="0" xr:uid="{00000000-0006-0000-1C00-000025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65" authorId="0" shapeId="0" xr:uid="{00000000-0006-0000-1C00-000026000000}">
      <text>
        <r>
          <rPr>
            <sz val="11"/>
            <color theme="1"/>
            <rFont val="Calibri"/>
            <family val="2"/>
            <scheme val="minor"/>
          </rPr>
          <t xml:space="preserve">Watson, Ethan D.:
For the ratio above. Examine the table provided in the Deliverable Instructions.  Find what rating would correspond to the number that you calculated
</t>
        </r>
      </text>
    </comment>
    <comment ref="A68" authorId="0" shapeId="0" xr:uid="{00000000-0006-0000-1C00-000027000000}">
      <text>
        <r>
          <rPr>
            <sz val="11"/>
            <color theme="1"/>
            <rFont val="Calibri"/>
            <family val="2"/>
            <scheme val="minor"/>
          </rPr>
          <t xml:space="preserve">Watson, Ethan D.:
Consider the ratios you calculated above and your estimated credit ratings on each.  Give an overall estimate for your credit rating.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A1" authorId="0" shapeId="0" xr:uid="{00000000-0006-0000-1D00-000001000000}">
      <text>
        <r>
          <rPr>
            <sz val="11"/>
            <color theme="1"/>
            <rFont val="Calibri"/>
            <family val="2"/>
            <scheme val="minor"/>
          </rPr>
          <t>Watson, Ethan D.:
There is no standard setting body for financial ratios, which leads to situations where a ratio may be called the same thing but calculated differently.  For this class our "standard setting body" is my lecture slides and/or the text.</t>
        </r>
      </text>
    </comment>
    <comment ref="B3" authorId="0" shapeId="0" xr:uid="{C08BC38E-1DCD-4F2C-A4F3-F1FE3D82FFEE}">
      <text>
        <r>
          <rPr>
            <sz val="11"/>
            <color theme="1"/>
            <rFont val="Calibri"/>
            <family val="2"/>
            <scheme val="minor"/>
          </rPr>
          <t xml:space="preserve">Watson, Ethan D.:
Insert actual year.  Eg. 2018.
</t>
        </r>
      </text>
    </comment>
    <comment ref="C3" authorId="0" shapeId="0" xr:uid="{9BC1C1B6-640B-47BA-85B6-46E1980983D0}">
      <text>
        <r>
          <rPr>
            <sz val="11"/>
            <color theme="1"/>
            <rFont val="Calibri"/>
            <family val="2"/>
            <scheme val="minor"/>
          </rPr>
          <t xml:space="preserve">Watson, Ethan D.:
Insert actual year.  Eg. 2017.
</t>
        </r>
      </text>
    </comment>
    <comment ref="D3" authorId="0" shapeId="0" xr:uid="{ECDCE317-7CDE-40B4-9DC9-DAAD8B039C44}">
      <text>
        <r>
          <rPr>
            <sz val="11"/>
            <color theme="1"/>
            <rFont val="Calibri"/>
            <family val="2"/>
            <scheme val="minor"/>
          </rPr>
          <t xml:space="preserve">Watson, Ethan D.:
Insert actual year.  Eg. 2016.
</t>
        </r>
      </text>
    </comment>
    <comment ref="E3" authorId="0" shapeId="0" xr:uid="{87CD8767-4696-47D7-844E-6C1E8F4249DA}">
      <text>
        <r>
          <rPr>
            <sz val="11"/>
            <color theme="1"/>
            <rFont val="Calibri"/>
            <family val="2"/>
            <scheme val="minor"/>
          </rPr>
          <t xml:space="preserve">Watson, Ethan D.:
Insert actual year.  Eg. 2015.
</t>
        </r>
      </text>
    </comment>
    <comment ref="F3" authorId="0" shapeId="0" xr:uid="{77719063-E49C-4AB9-B8DA-D37AAAF5C005}">
      <text>
        <r>
          <rPr>
            <sz val="11"/>
            <color theme="1"/>
            <rFont val="Calibri"/>
            <family val="2"/>
            <scheme val="minor"/>
          </rPr>
          <t xml:space="preserve">Watson, Ethan D.:
Insert actual year.  Eg. 2014.
</t>
        </r>
      </text>
    </comment>
    <comment ref="G3" authorId="0" shapeId="0" xr:uid="{3685D211-88DF-4075-A0E3-2EAD70779119}">
      <text>
        <r>
          <rPr>
            <sz val="11"/>
            <color theme="1"/>
            <rFont val="Calibri"/>
            <family val="2"/>
            <scheme val="minor"/>
          </rPr>
          <t xml:space="preserve">Watson, Ethan D.:
Insert actual year.  Eg. 2013.
</t>
        </r>
      </text>
    </comment>
    <comment ref="A4" authorId="0" shapeId="0" xr:uid="{00000000-0006-0000-1D00-000008000000}">
      <text>
        <r>
          <rPr>
            <sz val="11"/>
            <color theme="1"/>
            <rFont val="Calibri"/>
            <family val="2"/>
            <scheme val="minor"/>
          </rPr>
          <t>Watson, Ethan D.:
Use the market price that is closest to the end of the reporting year as possible.  Thus if you Balance sheet says "As of June 30, 2017." Find the stock price that is closest to that date.</t>
        </r>
      </text>
    </comment>
    <comment ref="A18" authorId="0" shapeId="0" xr:uid="{00000000-0006-0000-1D00-000009000000}">
      <text>
        <r>
          <rPr>
            <sz val="11"/>
            <color theme="1"/>
            <rFont val="Calibri"/>
            <family val="2"/>
            <scheme val="minor"/>
          </rPr>
          <t>Watson, Ethan D.:
Use Yahoo Finance, Bloomberg, or other tool to find a forcasted EPS</t>
        </r>
      </text>
    </comment>
    <comment ref="A19" authorId="0" shapeId="0" xr:uid="{00000000-0006-0000-1D00-00000A000000}">
      <text>
        <r>
          <rPr>
            <sz val="11"/>
            <color theme="1"/>
            <rFont val="Calibri"/>
            <family val="2"/>
            <scheme val="minor"/>
          </rPr>
          <t>Watson, Ethan D.:
to calculate a leading P/E ratio use the following formula:
Leading P/E = Current Stock Price/Forecasted EPS</t>
        </r>
      </text>
    </comment>
    <comment ref="B23" authorId="0" shapeId="0" xr:uid="{00000000-0006-0000-1D00-00000B000000}">
      <text>
        <r>
          <rPr>
            <sz val="11"/>
            <color theme="1"/>
            <rFont val="Calibri"/>
            <family val="2"/>
            <scheme val="minor"/>
          </rPr>
          <t xml:space="preserve">Watson, Ethan D.:
Insert actual year.  Eg. 2018.
</t>
        </r>
      </text>
    </comment>
    <comment ref="C23" authorId="0" shapeId="0" xr:uid="{00000000-0006-0000-1D00-00000C000000}">
      <text>
        <r>
          <rPr>
            <sz val="11"/>
            <color theme="1"/>
            <rFont val="Calibri"/>
            <family val="2"/>
            <scheme val="minor"/>
          </rPr>
          <t xml:space="preserve">Watson, Ethan D.:
Insert actual year.  Eg. 2017.
</t>
        </r>
      </text>
    </comment>
    <comment ref="D23" authorId="0" shapeId="0" xr:uid="{00000000-0006-0000-1D00-00000D000000}">
      <text>
        <r>
          <rPr>
            <sz val="11"/>
            <color theme="1"/>
            <rFont val="Calibri"/>
            <family val="2"/>
            <scheme val="minor"/>
          </rPr>
          <t xml:space="preserve">Watson, Ethan D.:
Insert actual year.  Eg. 2016.
</t>
        </r>
      </text>
    </comment>
    <comment ref="E23" authorId="0" shapeId="0" xr:uid="{00000000-0006-0000-1D00-00000E000000}">
      <text>
        <r>
          <rPr>
            <sz val="11"/>
            <color theme="1"/>
            <rFont val="Calibri"/>
            <family val="2"/>
            <scheme val="minor"/>
          </rPr>
          <t xml:space="preserve">Watson, Ethan D.:
Insert actual year.  Eg. 2015.
</t>
        </r>
      </text>
    </comment>
    <comment ref="F23" authorId="0" shapeId="0" xr:uid="{00000000-0006-0000-1D00-00000F000000}">
      <text>
        <r>
          <rPr>
            <sz val="11"/>
            <color theme="1"/>
            <rFont val="Calibri"/>
            <family val="2"/>
            <scheme val="minor"/>
          </rPr>
          <t xml:space="preserve">Watson, Ethan D.:
Insert actual year.  Eg. 2014.
</t>
        </r>
      </text>
    </comment>
    <comment ref="G23" authorId="0" shapeId="0" xr:uid="{00000000-0006-0000-1D00-000010000000}">
      <text>
        <r>
          <rPr>
            <sz val="11"/>
            <color theme="1"/>
            <rFont val="Calibri"/>
            <family val="2"/>
            <scheme val="minor"/>
          </rPr>
          <t xml:space="preserve">Watson, Ethan D.:
Insert actual year.  Eg. 2013.
</t>
        </r>
      </text>
    </comment>
    <comment ref="A27" authorId="0" shapeId="0" xr:uid="{00000000-0006-0000-1D00-000011000000}">
      <text>
        <r>
          <rPr>
            <sz val="11"/>
            <color theme="1"/>
            <rFont val="Calibri"/>
            <family val="2"/>
            <scheme val="minor"/>
          </rPr>
          <t>Watson, Ethan D.:
From Balance Sheet</t>
        </r>
      </text>
    </comment>
    <comment ref="A37" authorId="0" shapeId="0" xr:uid="{00000000-0006-0000-1D00-000012000000}">
      <text>
        <r>
          <rPr>
            <sz val="11"/>
            <color theme="1"/>
            <rFont val="Calibri"/>
            <family val="2"/>
            <scheme val="minor"/>
          </rPr>
          <t>Watson, Ethan D.:
From Income Statement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4" authorId="0" shapeId="0" xr:uid="{00000000-0006-0000-1E00-000001000000}">
      <text>
        <r>
          <rPr>
            <sz val="11"/>
            <color theme="1"/>
            <rFont val="Calibri"/>
            <family val="2"/>
            <scheme val="minor"/>
          </rPr>
          <t>Watson, Ethan D.:
Insert Actual year: Eg. 2018</t>
        </r>
      </text>
    </comment>
    <comment ref="C4" authorId="0" shapeId="0" xr:uid="{00000000-0006-0000-1E00-000002000000}">
      <text>
        <r>
          <rPr>
            <sz val="11"/>
            <color theme="1"/>
            <rFont val="Calibri"/>
            <family val="2"/>
            <scheme val="minor"/>
          </rPr>
          <t>Watson, Ethan D.:
Insert Actual year: Eg. 2019</t>
        </r>
      </text>
    </comment>
    <comment ref="D4" authorId="0" shapeId="0" xr:uid="{00000000-0006-0000-1E00-000003000000}">
      <text>
        <r>
          <rPr>
            <sz val="11"/>
            <color theme="1"/>
            <rFont val="Calibri"/>
            <family val="2"/>
            <scheme val="minor"/>
          </rPr>
          <t>Watson, Ethan D.:
Insert Actual year: Eg. 2020</t>
        </r>
      </text>
    </comment>
    <comment ref="E4" authorId="0" shapeId="0" xr:uid="{00000000-0006-0000-1E00-000004000000}">
      <text>
        <r>
          <rPr>
            <sz val="11"/>
            <color theme="1"/>
            <rFont val="Calibri"/>
            <family val="2"/>
            <scheme val="minor"/>
          </rPr>
          <t>Watson, Ethan D.:
Insert Actual year: Eg. 2021</t>
        </r>
      </text>
    </comment>
    <comment ref="F4" authorId="0" shapeId="0" xr:uid="{00000000-0006-0000-1E00-000005000000}">
      <text>
        <r>
          <rPr>
            <sz val="11"/>
            <color theme="1"/>
            <rFont val="Calibri"/>
            <family val="2"/>
            <scheme val="minor"/>
          </rPr>
          <t>Watson, Ethan D.:
Insert Actual year: Eg. 2022</t>
        </r>
      </text>
    </comment>
    <comment ref="G4" authorId="0" shapeId="0" xr:uid="{00000000-0006-0000-1E00-000006000000}">
      <text>
        <r>
          <rPr>
            <sz val="11"/>
            <color theme="1"/>
            <rFont val="Calibri"/>
            <family val="2"/>
            <scheme val="minor"/>
          </rPr>
          <t>Watson, Ethan D.:
Insert Actual year: Eg. 2023</t>
        </r>
      </text>
    </comment>
    <comment ref="A5" authorId="0" shapeId="0" xr:uid="{00000000-0006-0000-1E00-000007000000}">
      <text>
        <r>
          <rPr>
            <sz val="11"/>
            <color theme="1"/>
            <rFont val="Calibri"/>
            <family val="2"/>
            <scheme val="minor"/>
          </rPr>
          <t>Watson, Ethan D.:
Principal coming due can represent future constraints on cash, so it is important to look at these footnotes.  The firm will either have to use cash to settle or they will have to go back out to markets to raise capital.  The idea of ever-green debt is where you issue new debt to pay off old debt, but there are important things to note.  If the firm issues new debt in a period of higher interest rates it can have significant implications for for interest expense.  Conversely, if they issue during lower rate environments then it can lead to lower interest expense and higher profits.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Watson, Ethan D.</author>
  </authors>
  <commentList>
    <comment ref="B5" authorId="0" shapeId="0" xr:uid="{00000000-0006-0000-1F00-000001000000}">
      <text>
        <r>
          <rPr>
            <sz val="11"/>
            <color theme="1"/>
            <rFont val="Calibri"/>
            <family val="2"/>
            <scheme val="minor"/>
          </rPr>
          <t xml:space="preserve">Watson, Ethan D.:
Insert actual year.  Eg. 2018.
</t>
        </r>
      </text>
    </comment>
    <comment ref="C5" authorId="0" shapeId="0" xr:uid="{00000000-0006-0000-1F00-000002000000}">
      <text>
        <r>
          <rPr>
            <sz val="11"/>
            <color theme="1"/>
            <rFont val="Calibri"/>
            <family val="2"/>
            <scheme val="minor"/>
          </rPr>
          <t xml:space="preserve">Watson, Ethan D.:
Insert actual year.  Eg. 2017.
</t>
        </r>
      </text>
    </comment>
    <comment ref="D5" authorId="0" shapeId="0" xr:uid="{00000000-0006-0000-1F00-000003000000}">
      <text>
        <r>
          <rPr>
            <sz val="11"/>
            <color theme="1"/>
            <rFont val="Calibri"/>
            <family val="2"/>
            <scheme val="minor"/>
          </rPr>
          <t xml:space="preserve">Watson, Ethan D.:
Insert actual year.  Eg. 2016.
</t>
        </r>
      </text>
    </comment>
    <comment ref="E5" authorId="0" shapeId="0" xr:uid="{00000000-0006-0000-1F00-000004000000}">
      <text>
        <r>
          <rPr>
            <sz val="11"/>
            <color theme="1"/>
            <rFont val="Calibri"/>
            <family val="2"/>
            <scheme val="minor"/>
          </rPr>
          <t xml:space="preserve">Watson, Ethan D.:
Insert actual year.  Eg. 2015.
</t>
        </r>
      </text>
    </comment>
    <comment ref="F5" authorId="0" shapeId="0" xr:uid="{00000000-0006-0000-1F00-000005000000}">
      <text>
        <r>
          <rPr>
            <sz val="11"/>
            <color theme="1"/>
            <rFont val="Calibri"/>
            <family val="2"/>
            <scheme val="minor"/>
          </rPr>
          <t xml:space="preserve">Watson, Ethan D.:
Insert actual year.  Eg. 2014.
</t>
        </r>
      </text>
    </comment>
    <comment ref="G5" authorId="0" shapeId="0" xr:uid="{00000000-0006-0000-1F00-000006000000}">
      <text>
        <r>
          <rPr>
            <sz val="11"/>
            <color theme="1"/>
            <rFont val="Calibri"/>
            <family val="2"/>
            <scheme val="minor"/>
          </rPr>
          <t xml:space="preserve">Watson, Ethan D.:
Insert actual year.  Eg. 2013.
</t>
        </r>
      </text>
    </comment>
    <comment ref="A6" authorId="0" shapeId="0" xr:uid="{00000000-0006-0000-1F00-000007000000}">
      <text>
        <r>
          <rPr>
            <sz val="11"/>
            <color theme="1"/>
            <rFont val="Calibri"/>
            <family val="2"/>
            <scheme val="minor"/>
          </rPr>
          <t>Watson, Ethan D.:
Answer (Yes/No) but you can leave a comment with any discussion you might have</t>
        </r>
      </text>
    </comment>
    <comment ref="A7" authorId="0" shapeId="0" xr:uid="{00000000-0006-0000-1F00-000008000000}">
      <text>
        <r>
          <rPr>
            <sz val="11"/>
            <color theme="1"/>
            <rFont val="Calibri"/>
            <family val="2"/>
            <scheme val="minor"/>
          </rPr>
          <t>Watson, Ethan D.:
Answer (Yes/No) but you can leave a comment with any discussion you might have</t>
        </r>
      </text>
    </comment>
    <comment ref="A8" authorId="0" shapeId="0" xr:uid="{00000000-0006-0000-1F00-000009000000}">
      <text>
        <r>
          <rPr>
            <sz val="11"/>
            <color theme="1"/>
            <rFont val="Calibri"/>
            <family val="2"/>
            <scheme val="minor"/>
          </rPr>
          <t>Watson, Ethan D.:
Answer (Yes/No) but you can leave a comment with any discussion you might have</t>
        </r>
      </text>
    </comment>
    <comment ref="A9" authorId="0" shapeId="0" xr:uid="{00000000-0006-0000-1F00-00000A000000}">
      <text>
        <r>
          <rPr>
            <sz val="11"/>
            <color theme="1"/>
            <rFont val="Calibri"/>
            <family val="2"/>
            <scheme val="minor"/>
          </rPr>
          <t>Watson, Ethan D.:
Answer (Yes/No) but you can leave a comment with any discussion you might have</t>
        </r>
      </text>
    </comment>
    <comment ref="A10" authorId="0" shapeId="0" xr:uid="{00000000-0006-0000-1F00-00000B000000}">
      <text>
        <r>
          <rPr>
            <sz val="11"/>
            <color theme="1"/>
            <rFont val="Calibri"/>
            <family val="2"/>
            <scheme val="minor"/>
          </rPr>
          <t>Watson, Ethan D.:
Answer (Yes/No) but you can leave a comment with any discussion you might have</t>
        </r>
      </text>
    </comment>
    <comment ref="A11" authorId="0" shapeId="0" xr:uid="{00000000-0006-0000-1F00-00000C000000}">
      <text>
        <r>
          <rPr>
            <sz val="11"/>
            <color theme="1"/>
            <rFont val="Calibri"/>
            <family val="2"/>
            <scheme val="minor"/>
          </rPr>
          <t>Watson, Ethan D.:
Answer (Yes/No) but you can leave a comment with any discussion you might have</t>
        </r>
      </text>
    </comment>
    <comment ref="A14" authorId="0" shapeId="0" xr:uid="{00000000-0006-0000-1F00-00000D000000}">
      <text>
        <r>
          <rPr>
            <sz val="11"/>
            <color theme="1"/>
            <rFont val="Calibri"/>
            <family val="2"/>
            <scheme val="minor"/>
          </rPr>
          <t>Watson, Ethan D.:
Use dynamic formula to reference back to the income statement</t>
        </r>
      </text>
    </comment>
    <comment ref="A15" authorId="0" shapeId="0" xr:uid="{00000000-0006-0000-1F00-00000E000000}">
      <text>
        <r>
          <rPr>
            <sz val="11"/>
            <color theme="1"/>
            <rFont val="Calibri"/>
            <family val="2"/>
            <scheme val="minor"/>
          </rPr>
          <t>Watson, Ethan D.:
You should have this in your horizontal analysis</t>
        </r>
      </text>
    </comment>
    <comment ref="A17" authorId="0" shapeId="0" xr:uid="{00000000-0006-0000-1F00-00000F000000}">
      <text>
        <r>
          <rPr>
            <sz val="11"/>
            <color theme="1"/>
            <rFont val="Calibri"/>
            <family val="2"/>
            <scheme val="minor"/>
          </rPr>
          <t>Watson, Ethan D.:
Income Shifting is hard to prove, but you can look for things that are out of the ordinary.  In your opinion is there potential for income shifting?</t>
        </r>
      </text>
    </comment>
    <comment ref="B21" authorId="0" shapeId="0" xr:uid="{00000000-0006-0000-1F00-000010000000}">
      <text>
        <r>
          <rPr>
            <sz val="11"/>
            <color theme="1"/>
            <rFont val="Calibri"/>
            <family val="2"/>
            <scheme val="minor"/>
          </rPr>
          <t xml:space="preserve">Watson, Ethan D.:
Insert actual year.  Eg. 2018.
</t>
        </r>
      </text>
    </comment>
    <comment ref="C21" authorId="0" shapeId="0" xr:uid="{00000000-0006-0000-1F00-000011000000}">
      <text>
        <r>
          <rPr>
            <sz val="11"/>
            <color theme="1"/>
            <rFont val="Calibri"/>
            <family val="2"/>
            <scheme val="minor"/>
          </rPr>
          <t xml:space="preserve">Watson, Ethan D.:
Insert actual year.  Eg. 2017.
</t>
        </r>
      </text>
    </comment>
    <comment ref="D21" authorId="0" shapeId="0" xr:uid="{00000000-0006-0000-1F00-000012000000}">
      <text>
        <r>
          <rPr>
            <sz val="11"/>
            <color theme="1"/>
            <rFont val="Calibri"/>
            <family val="2"/>
            <scheme val="minor"/>
          </rPr>
          <t xml:space="preserve">Watson, Ethan D.:
Insert actual year.  Eg. 2016.
</t>
        </r>
      </text>
    </comment>
    <comment ref="E21" authorId="0" shapeId="0" xr:uid="{00000000-0006-0000-1F00-000013000000}">
      <text>
        <r>
          <rPr>
            <sz val="11"/>
            <color theme="1"/>
            <rFont val="Calibri"/>
            <family val="2"/>
            <scheme val="minor"/>
          </rPr>
          <t xml:space="preserve">Watson, Ethan D.:
Insert actual year.  Eg. 2015.
</t>
        </r>
      </text>
    </comment>
    <comment ref="F21" authorId="0" shapeId="0" xr:uid="{00000000-0006-0000-1F00-000014000000}">
      <text>
        <r>
          <rPr>
            <sz val="11"/>
            <color theme="1"/>
            <rFont val="Calibri"/>
            <family val="2"/>
            <scheme val="minor"/>
          </rPr>
          <t xml:space="preserve">Watson, Ethan D.:
Insert actual year.  Eg. 2014.
</t>
        </r>
      </text>
    </comment>
    <comment ref="G21" authorId="0" shapeId="0" xr:uid="{00000000-0006-0000-1F00-000015000000}">
      <text>
        <r>
          <rPr>
            <sz val="11"/>
            <color theme="1"/>
            <rFont val="Calibri"/>
            <family val="2"/>
            <scheme val="minor"/>
          </rPr>
          <t xml:space="preserve">Watson, Ethan D.:
Insert actual year.  Eg. 2013.
</t>
        </r>
      </text>
    </comment>
    <comment ref="A23" authorId="0" shapeId="0" xr:uid="{00000000-0006-0000-1F00-000016000000}">
      <text>
        <r>
          <rPr>
            <sz val="11"/>
            <color theme="1"/>
            <rFont val="Calibri"/>
            <family val="2"/>
            <scheme val="minor"/>
          </rPr>
          <t>Watson, Ethan D.:
Answer (Yes/No) but you can leave a comment with any discussion you might have</t>
        </r>
      </text>
    </comment>
    <comment ref="A24" authorId="0" shapeId="0" xr:uid="{00000000-0006-0000-1F00-000017000000}">
      <text>
        <r>
          <rPr>
            <sz val="11"/>
            <color theme="1"/>
            <rFont val="Calibri"/>
            <family val="2"/>
            <scheme val="minor"/>
          </rPr>
          <t>Watson, Ethan D.:
Answer (Yes/No) but you can leave a comment with any discussion you might have</t>
        </r>
      </text>
    </comment>
    <comment ref="B28" authorId="0" shapeId="0" xr:uid="{00000000-0006-0000-1F00-000018000000}">
      <text>
        <r>
          <rPr>
            <sz val="11"/>
            <color theme="1"/>
            <rFont val="Calibri"/>
            <family val="2"/>
            <scheme val="minor"/>
          </rPr>
          <t xml:space="preserve">Watson, Ethan D.:
Insert actual year.  Eg. 2018.
</t>
        </r>
      </text>
    </comment>
    <comment ref="C28" authorId="0" shapeId="0" xr:uid="{00000000-0006-0000-1F00-000019000000}">
      <text>
        <r>
          <rPr>
            <sz val="11"/>
            <color theme="1"/>
            <rFont val="Calibri"/>
            <family val="2"/>
            <scheme val="minor"/>
          </rPr>
          <t xml:space="preserve">Watson, Ethan D.:
Insert actual year.  Eg. 2017.
</t>
        </r>
      </text>
    </comment>
    <comment ref="D28" authorId="0" shapeId="0" xr:uid="{00000000-0006-0000-1F00-00001A000000}">
      <text>
        <r>
          <rPr>
            <sz val="11"/>
            <color theme="1"/>
            <rFont val="Calibri"/>
            <family val="2"/>
            <scheme val="minor"/>
          </rPr>
          <t xml:space="preserve">Watson, Ethan D.:
Insert actual year.  Eg. 2016.
</t>
        </r>
      </text>
    </comment>
    <comment ref="E28" authorId="0" shapeId="0" xr:uid="{00000000-0006-0000-1F00-00001B000000}">
      <text>
        <r>
          <rPr>
            <sz val="11"/>
            <color theme="1"/>
            <rFont val="Calibri"/>
            <family val="2"/>
            <scheme val="minor"/>
          </rPr>
          <t xml:space="preserve">Watson, Ethan D.:
Insert actual year.  Eg. 2015.
</t>
        </r>
      </text>
    </comment>
    <comment ref="F28" authorId="0" shapeId="0" xr:uid="{00000000-0006-0000-1F00-00001C000000}">
      <text>
        <r>
          <rPr>
            <sz val="11"/>
            <color theme="1"/>
            <rFont val="Calibri"/>
            <family val="2"/>
            <scheme val="minor"/>
          </rPr>
          <t xml:space="preserve">Watson, Ethan D.:
Insert actual year.  Eg. 2014.
</t>
        </r>
      </text>
    </comment>
    <comment ref="G28" authorId="0" shapeId="0" xr:uid="{00000000-0006-0000-1F00-00001D000000}">
      <text>
        <r>
          <rPr>
            <sz val="11"/>
            <color theme="1"/>
            <rFont val="Calibri"/>
            <family val="2"/>
            <scheme val="minor"/>
          </rPr>
          <t xml:space="preserve">Watson, Ethan D.:
Insert actual year.  Eg. 2013.
</t>
        </r>
      </text>
    </comment>
    <comment ref="A40" authorId="0" shapeId="0" xr:uid="{00000000-0006-0000-1F00-00001E000000}">
      <text>
        <r>
          <rPr>
            <sz val="11"/>
            <color theme="1"/>
            <rFont val="Calibri"/>
            <family val="2"/>
            <scheme val="minor"/>
          </rPr>
          <t>Watson, Ethan D.:
You should have these already from a previous analysis.  Use a dynamic formula to reference your earlier analysis.</t>
        </r>
      </text>
    </comment>
    <comment ref="A41" authorId="0" shapeId="0" xr:uid="{00000000-0006-0000-1F00-00001F000000}">
      <text>
        <r>
          <rPr>
            <sz val="11"/>
            <color theme="1"/>
            <rFont val="Calibri"/>
            <family val="2"/>
            <scheme val="minor"/>
          </rPr>
          <t>Watson, Ethan D.:
You should have these already from a previous analysis.  Use a dynamic formula to reference your earlier analysis.</t>
        </r>
      </text>
    </comment>
    <comment ref="A43" authorId="0" shapeId="0" xr:uid="{00000000-0006-0000-1F00-000020000000}">
      <text>
        <r>
          <rPr>
            <sz val="11"/>
            <color theme="1"/>
            <rFont val="Calibri"/>
            <family val="2"/>
            <scheme val="minor"/>
          </rPr>
          <t>Watson, Ethan D.:
Income Shifting is hard to prove, but you can look for things that are out of the ordinary.  In your opinion is there potential for income shifting?</t>
        </r>
      </text>
    </comment>
    <comment ref="B47" authorId="0" shapeId="0" xr:uid="{00000000-0006-0000-1F00-000021000000}">
      <text>
        <r>
          <rPr>
            <sz val="11"/>
            <color theme="1"/>
            <rFont val="Calibri"/>
            <family val="2"/>
            <scheme val="minor"/>
          </rPr>
          <t xml:space="preserve">Watson, Ethan D.:
Insert actual year.  Eg. 2018.
</t>
        </r>
      </text>
    </comment>
    <comment ref="C47" authorId="0" shapeId="0" xr:uid="{00000000-0006-0000-1F00-000022000000}">
      <text>
        <r>
          <rPr>
            <sz val="11"/>
            <color theme="1"/>
            <rFont val="Calibri"/>
            <family val="2"/>
            <scheme val="minor"/>
          </rPr>
          <t xml:space="preserve">Watson, Ethan D.:
Insert actual year.  Eg. 2017.
</t>
        </r>
      </text>
    </comment>
    <comment ref="D47" authorId="0" shapeId="0" xr:uid="{00000000-0006-0000-1F00-000023000000}">
      <text>
        <r>
          <rPr>
            <sz val="11"/>
            <color theme="1"/>
            <rFont val="Calibri"/>
            <family val="2"/>
            <scheme val="minor"/>
          </rPr>
          <t xml:space="preserve">Watson, Ethan D.:
Insert actual year.  Eg. 2016.
</t>
        </r>
      </text>
    </comment>
    <comment ref="E47" authorId="0" shapeId="0" xr:uid="{00000000-0006-0000-1F00-000024000000}">
      <text>
        <r>
          <rPr>
            <sz val="11"/>
            <color theme="1"/>
            <rFont val="Calibri"/>
            <family val="2"/>
            <scheme val="minor"/>
          </rPr>
          <t xml:space="preserve">Watson, Ethan D.:
Insert actual year.  Eg. 2015.
</t>
        </r>
      </text>
    </comment>
    <comment ref="F47" authorId="0" shapeId="0" xr:uid="{00000000-0006-0000-1F00-000025000000}">
      <text>
        <r>
          <rPr>
            <sz val="11"/>
            <color theme="1"/>
            <rFont val="Calibri"/>
            <family val="2"/>
            <scheme val="minor"/>
          </rPr>
          <t xml:space="preserve">Watson, Ethan D.:
Insert actual year.  Eg. 2014.
</t>
        </r>
      </text>
    </comment>
    <comment ref="G47" authorId="0" shapeId="0" xr:uid="{00000000-0006-0000-1F00-000026000000}">
      <text>
        <r>
          <rPr>
            <sz val="11"/>
            <color theme="1"/>
            <rFont val="Calibri"/>
            <family val="2"/>
            <scheme val="minor"/>
          </rPr>
          <t xml:space="preserve">Watson, Ethan D.:
Insert actual year.  Eg. 2013.
</t>
        </r>
      </text>
    </comment>
    <comment ref="A48" authorId="0" shapeId="0" xr:uid="{00000000-0006-0000-1F00-000027000000}">
      <text>
        <r>
          <rPr>
            <sz val="11"/>
            <color theme="1"/>
            <rFont val="Calibri"/>
            <family val="2"/>
            <scheme val="minor"/>
          </rPr>
          <t xml:space="preserve">Watson, Ethan D.:
Look back at Significant Accounting Policies…Does the firm use LIFO, FIFO, Avg Cost, etc.
</t>
        </r>
      </text>
    </comment>
    <comment ref="A51" authorId="0" shapeId="0" xr:uid="{00000000-0006-0000-1F00-000028000000}">
      <text>
        <r>
          <rPr>
            <sz val="11"/>
            <color theme="1"/>
            <rFont val="Calibri"/>
            <family val="2"/>
            <scheme val="minor"/>
          </rPr>
          <t xml:space="preserve">Watson, Ethan D.:
Note: this comes from our horizontal analysis.  Create a dynamic formula to reference your earlier analysis.
</t>
        </r>
      </text>
    </comment>
    <comment ref="A52" authorId="0" shapeId="0" xr:uid="{00000000-0006-0000-1F00-000029000000}">
      <text>
        <r>
          <rPr>
            <sz val="11"/>
            <color theme="1"/>
            <rFont val="Calibri"/>
            <family val="2"/>
            <scheme val="minor"/>
          </rPr>
          <t xml:space="preserve">Watson, Ethan D.:
Note:  This comes from your horizontal analysis.  Use a dynamic formula to reference earlier work.
</t>
        </r>
      </text>
    </comment>
    <comment ref="A55" authorId="0" shapeId="0" xr:uid="{00000000-0006-0000-1F00-00002A000000}">
      <text>
        <r>
          <rPr>
            <sz val="11"/>
            <color theme="1"/>
            <rFont val="Calibri"/>
            <family val="2"/>
            <scheme val="minor"/>
          </rPr>
          <t>Watson, Ethan D.:
You should have these already from a previous analysis.  Use a dynamic formula to reference your earlier analysis.</t>
        </r>
      </text>
    </comment>
    <comment ref="A56" authorId="0" shapeId="0" xr:uid="{00000000-0006-0000-1F00-00002B000000}">
      <text>
        <r>
          <rPr>
            <sz val="11"/>
            <color theme="1"/>
            <rFont val="Calibri"/>
            <family val="2"/>
            <scheme val="minor"/>
          </rPr>
          <t>Watson, Ethan D.:
You should have these already from a previous analysis.  Use a dynamic formula to reference your earlier analysis.</t>
        </r>
      </text>
    </comment>
    <comment ref="A58" authorId="0" shapeId="0" xr:uid="{00000000-0006-0000-1F00-00002C000000}">
      <text>
        <r>
          <rPr>
            <sz val="11"/>
            <color theme="1"/>
            <rFont val="Calibri"/>
            <family val="2"/>
            <scheme val="minor"/>
          </rPr>
          <t>Watson, Ethan D.:
Will need to look through footnotes for write-downs.</t>
        </r>
      </text>
    </comment>
    <comment ref="A59" authorId="0" shapeId="0" xr:uid="{00000000-0006-0000-1F00-00002D000000}">
      <text>
        <r>
          <rPr>
            <sz val="11"/>
            <color theme="1"/>
            <rFont val="Calibri"/>
            <family val="2"/>
            <scheme val="minor"/>
          </rPr>
          <t xml:space="preserve">Watson, Ethan D.:
Will need to look through footnotes
</t>
        </r>
      </text>
    </comment>
    <comment ref="A60" authorId="0" shapeId="0" xr:uid="{00000000-0006-0000-1F00-00002E000000}">
      <text>
        <r>
          <rPr>
            <sz val="11"/>
            <color theme="1"/>
            <rFont val="Calibri"/>
            <family val="2"/>
            <scheme val="minor"/>
          </rPr>
          <t>Watson, Ethan D.:
In your opinion is there potential for income shifting?</t>
        </r>
      </text>
    </comment>
    <comment ref="B64" authorId="0" shapeId="0" xr:uid="{00000000-0006-0000-1F00-00002F000000}">
      <text>
        <r>
          <rPr>
            <sz val="11"/>
            <color theme="1"/>
            <rFont val="Calibri"/>
            <family val="2"/>
            <scheme val="minor"/>
          </rPr>
          <t xml:space="preserve">Watson, Ethan D.:
Insert actual year.  Eg. 2018.
</t>
        </r>
      </text>
    </comment>
    <comment ref="C64" authorId="0" shapeId="0" xr:uid="{00000000-0006-0000-1F00-000030000000}">
      <text>
        <r>
          <rPr>
            <sz val="11"/>
            <color theme="1"/>
            <rFont val="Calibri"/>
            <family val="2"/>
            <scheme val="minor"/>
          </rPr>
          <t xml:space="preserve">Watson, Ethan D.:
Insert actual year.  Eg. 2017.
</t>
        </r>
      </text>
    </comment>
    <comment ref="D64" authorId="0" shapeId="0" xr:uid="{00000000-0006-0000-1F00-000031000000}">
      <text>
        <r>
          <rPr>
            <sz val="11"/>
            <color theme="1"/>
            <rFont val="Calibri"/>
            <family val="2"/>
            <scheme val="minor"/>
          </rPr>
          <t xml:space="preserve">Watson, Ethan D.:
Insert actual year.  Eg. 2016.
</t>
        </r>
      </text>
    </comment>
    <comment ref="E64" authorId="0" shapeId="0" xr:uid="{00000000-0006-0000-1F00-000032000000}">
      <text>
        <r>
          <rPr>
            <sz val="11"/>
            <color theme="1"/>
            <rFont val="Calibri"/>
            <family val="2"/>
            <scheme val="minor"/>
          </rPr>
          <t xml:space="preserve">Watson, Ethan D.:
Insert actual year.  Eg. 2015.
</t>
        </r>
      </text>
    </comment>
    <comment ref="F64" authorId="0" shapeId="0" xr:uid="{00000000-0006-0000-1F00-000033000000}">
      <text>
        <r>
          <rPr>
            <sz val="11"/>
            <color theme="1"/>
            <rFont val="Calibri"/>
            <family val="2"/>
            <scheme val="minor"/>
          </rPr>
          <t xml:space="preserve">Watson, Ethan D.:
Insert actual year.  Eg. 2014.
</t>
        </r>
      </text>
    </comment>
    <comment ref="G64" authorId="0" shapeId="0" xr:uid="{00000000-0006-0000-1F00-000034000000}">
      <text>
        <r>
          <rPr>
            <sz val="11"/>
            <color theme="1"/>
            <rFont val="Calibri"/>
            <family val="2"/>
            <scheme val="minor"/>
          </rPr>
          <t xml:space="preserve">Watson, Ethan D.:
Insert actual year.  Eg. 2013.
</t>
        </r>
      </text>
    </comment>
    <comment ref="A71" authorId="0" shapeId="0" xr:uid="{00000000-0006-0000-1F00-000035000000}">
      <text>
        <r>
          <rPr>
            <sz val="11"/>
            <color theme="1"/>
            <rFont val="Calibri"/>
            <family val="2"/>
            <scheme val="minor"/>
          </rPr>
          <t>Watson, Ethan D.:
Average Useful Life attempts to judge the age of your plants and equipment.  It can indicate that you may be due for capital investment soon.  For Depreciable assets use net PP&amp;E, and try to locate a footnote regarding PP&amp;E to see how much PP&amp;E land and construction-in-progress.  We really want Deprecable Assets to exclude land and construction-in-progress, since these assets are not depreciated.</t>
        </r>
      </text>
    </comment>
    <comment ref="A73" authorId="0" shapeId="0" xr:uid="{00000000-0006-0000-1F00-000036000000}">
      <text>
        <r>
          <rPr>
            <sz val="11"/>
            <color theme="1"/>
            <rFont val="Calibri"/>
            <family val="2"/>
            <scheme val="minor"/>
          </rPr>
          <t xml:space="preserve">Watson, Ethan D.:
Percent Used Up attempts to capture the percentage of plant and equipment that has been used up.  It indicates For Depreciable assets use net PP&amp;E, and try to locate a footnote regarding PP&amp;E to see how much PP&amp;E land and construction-in-progress.  We really want Deprecable Assets to exclude land and construction-in-progress, since these assets are not depreciated.  </t>
        </r>
      </text>
    </comment>
    <comment ref="A75" authorId="0" shapeId="0" xr:uid="{00000000-0006-0000-1F00-000037000000}">
      <text>
        <r>
          <rPr>
            <sz val="11"/>
            <color theme="1"/>
            <rFont val="Calibri"/>
            <family val="2"/>
            <scheme val="minor"/>
          </rPr>
          <t>Watson, Ethan D.:
In your opinion is there potential for income shifting?</t>
        </r>
      </text>
    </comment>
    <comment ref="B81" authorId="0" shapeId="0" xr:uid="{00000000-0006-0000-1F00-000038000000}">
      <text>
        <r>
          <rPr>
            <sz val="11"/>
            <color theme="1"/>
            <rFont val="Calibri"/>
            <family val="2"/>
            <scheme val="minor"/>
          </rPr>
          <t xml:space="preserve">Watson, Ethan D.:
Insert actual year.  Eg. 2018.
</t>
        </r>
      </text>
    </comment>
    <comment ref="C81" authorId="0" shapeId="0" xr:uid="{00000000-0006-0000-1F00-000039000000}">
      <text>
        <r>
          <rPr>
            <sz val="11"/>
            <color theme="1"/>
            <rFont val="Calibri"/>
            <family val="2"/>
            <scheme val="minor"/>
          </rPr>
          <t xml:space="preserve">Watson, Ethan D.:
Insert actual year.  Eg. 2017.
</t>
        </r>
      </text>
    </comment>
    <comment ref="D81" authorId="0" shapeId="0" xr:uid="{00000000-0006-0000-1F00-00003A000000}">
      <text>
        <r>
          <rPr>
            <sz val="11"/>
            <color theme="1"/>
            <rFont val="Calibri"/>
            <family val="2"/>
            <scheme val="minor"/>
          </rPr>
          <t xml:space="preserve">Watson, Ethan D.:
Insert actual year.  Eg. 2016.
</t>
        </r>
      </text>
    </comment>
    <comment ref="E81" authorId="0" shapeId="0" xr:uid="{00000000-0006-0000-1F00-00003B000000}">
      <text>
        <r>
          <rPr>
            <sz val="11"/>
            <color theme="1"/>
            <rFont val="Calibri"/>
            <family val="2"/>
            <scheme val="minor"/>
          </rPr>
          <t xml:space="preserve">Watson, Ethan D.:
Insert actual year.  Eg. 2015.
</t>
        </r>
      </text>
    </comment>
    <comment ref="F81" authorId="0" shapeId="0" xr:uid="{00000000-0006-0000-1F00-00003C000000}">
      <text>
        <r>
          <rPr>
            <sz val="11"/>
            <color theme="1"/>
            <rFont val="Calibri"/>
            <family val="2"/>
            <scheme val="minor"/>
          </rPr>
          <t xml:space="preserve">Watson, Ethan D.:
Insert actual year.  Eg. 2014.
</t>
        </r>
      </text>
    </comment>
    <comment ref="G81" authorId="0" shapeId="0" xr:uid="{00000000-0006-0000-1F00-00003D000000}">
      <text>
        <r>
          <rPr>
            <sz val="11"/>
            <color theme="1"/>
            <rFont val="Calibri"/>
            <family val="2"/>
            <scheme val="minor"/>
          </rPr>
          <t xml:space="preserve">Watson, Ethan D.:
Insert actual year.  Eg. 2013.
</t>
        </r>
      </text>
    </comment>
    <comment ref="A86" authorId="0" shapeId="0" xr:uid="{00000000-0006-0000-1F00-00003E000000}">
      <text>
        <r>
          <rPr>
            <sz val="11"/>
            <color theme="1"/>
            <rFont val="Calibri"/>
            <family val="2"/>
            <scheme val="minor"/>
          </rPr>
          <t>Watson, Ethan D.:
In your opinion is there potential for income shifting?</t>
        </r>
      </text>
    </comment>
    <comment ref="A91" authorId="0" shapeId="0" xr:uid="{00000000-0006-0000-1F00-00003F000000}">
      <text>
        <r>
          <rPr>
            <sz val="11"/>
            <color theme="1"/>
            <rFont val="Calibri"/>
            <family val="2"/>
            <scheme val="minor"/>
          </rPr>
          <t xml:space="preserve">Watson, Ethan D.:
In general you want to see Cash Flow from Operations and Net Income track similarly, i.e. as one goes up (down) the other goes up (down).
</t>
        </r>
      </text>
    </comment>
    <comment ref="B91" authorId="0" shapeId="0" xr:uid="{00000000-0006-0000-1F00-000040000000}">
      <text>
        <r>
          <rPr>
            <sz val="11"/>
            <color theme="1"/>
            <rFont val="Calibri"/>
            <family val="2"/>
            <scheme val="minor"/>
          </rPr>
          <t xml:space="preserve">Watson, Ethan D.:
Insert actual year.  Eg. 2018.
</t>
        </r>
      </text>
    </comment>
    <comment ref="C91" authorId="0" shapeId="0" xr:uid="{00000000-0006-0000-1F00-000041000000}">
      <text>
        <r>
          <rPr>
            <sz val="11"/>
            <color theme="1"/>
            <rFont val="Calibri"/>
            <family val="2"/>
            <scheme val="minor"/>
          </rPr>
          <t xml:space="preserve">Watson, Ethan D.:
Insert actual year.  Eg. 2017.
</t>
        </r>
      </text>
    </comment>
    <comment ref="D91" authorId="0" shapeId="0" xr:uid="{00000000-0006-0000-1F00-000042000000}">
      <text>
        <r>
          <rPr>
            <sz val="11"/>
            <color theme="1"/>
            <rFont val="Calibri"/>
            <family val="2"/>
            <scheme val="minor"/>
          </rPr>
          <t xml:space="preserve">Watson, Ethan D.:
Insert actual year.  Eg. 2016.
</t>
        </r>
      </text>
    </comment>
    <comment ref="E91" authorId="0" shapeId="0" xr:uid="{00000000-0006-0000-1F00-000043000000}">
      <text>
        <r>
          <rPr>
            <sz val="11"/>
            <color theme="1"/>
            <rFont val="Calibri"/>
            <family val="2"/>
            <scheme val="minor"/>
          </rPr>
          <t xml:space="preserve">Watson, Ethan D.:
Insert actual year.  Eg. 2015.
</t>
        </r>
      </text>
    </comment>
    <comment ref="F91" authorId="0" shapeId="0" xr:uid="{00000000-0006-0000-1F00-000044000000}">
      <text>
        <r>
          <rPr>
            <sz val="11"/>
            <color theme="1"/>
            <rFont val="Calibri"/>
            <family val="2"/>
            <scheme val="minor"/>
          </rPr>
          <t xml:space="preserve">Watson, Ethan D.:
Insert actual year.  Eg. 2014.
</t>
        </r>
      </text>
    </comment>
    <comment ref="G91" authorId="0" shapeId="0" xr:uid="{00000000-0006-0000-1F00-000045000000}">
      <text>
        <r>
          <rPr>
            <sz val="11"/>
            <color theme="1"/>
            <rFont val="Calibri"/>
            <family val="2"/>
            <scheme val="minor"/>
          </rPr>
          <t xml:space="preserve">Watson, Ethan D.:
Insert actual year.  Eg. 2013.
</t>
        </r>
      </text>
    </comment>
    <comment ref="A95" authorId="0" shapeId="0" xr:uid="{00000000-0006-0000-1F00-000046000000}">
      <text>
        <r>
          <rPr>
            <sz val="11"/>
            <color theme="1"/>
            <rFont val="Calibri"/>
            <family val="2"/>
            <scheme val="minor"/>
          </rPr>
          <t xml:space="preserve">Watson, Ethan D.:
If the ratio is consistently below 1.0 or has declined repeatedly, there may be problems in the company’s accrual accounts.
</t>
        </r>
      </text>
    </comment>
  </commentList>
</comments>
</file>

<file path=xl/sharedStrings.xml><?xml version="1.0" encoding="utf-8"?>
<sst xmlns="http://schemas.openxmlformats.org/spreadsheetml/2006/main" count="1051" uniqueCount="462">
  <si>
    <t>Team Number:</t>
  </si>
  <si>
    <t>Emphasis Company:</t>
  </si>
  <si>
    <t>Compare Company:</t>
  </si>
  <si>
    <t>Team Member Name:</t>
  </si>
  <si>
    <t>Email:</t>
  </si>
  <si>
    <t>Joel Applegate</t>
  </si>
  <si>
    <t>jaa9436@uncw.edu</t>
  </si>
  <si>
    <t>Joey Bridgham</t>
  </si>
  <si>
    <t>jjb3229@uncw.edu</t>
  </si>
  <si>
    <t>Owen Bieler</t>
  </si>
  <si>
    <t>orb1456@uncw.edu</t>
  </si>
  <si>
    <t>Taylor Chapman</t>
  </si>
  <si>
    <t>tlc3246@uncw.edu</t>
  </si>
  <si>
    <t>Colin Waltsak</t>
  </si>
  <si>
    <t>cpw9627@uncw.edu</t>
  </si>
  <si>
    <t xml:space="preserve">Line Items </t>
  </si>
  <si>
    <t>Year(t=0)</t>
  </si>
  <si>
    <t>Year(t=-1)</t>
  </si>
  <si>
    <t>Year(t=-2)</t>
  </si>
  <si>
    <t>Year(t=-3)</t>
  </si>
  <si>
    <t>Year(t=-4)</t>
  </si>
  <si>
    <t>Year(t=-5)</t>
  </si>
  <si>
    <t>MEAN</t>
  </si>
  <si>
    <t>STD</t>
  </si>
  <si>
    <t>MIN</t>
  </si>
  <si>
    <t>MEDIAN</t>
  </si>
  <si>
    <t>MAX</t>
  </si>
  <si>
    <t>Current Assets</t>
  </si>
  <si>
    <t>Cash and Cash Equivalents</t>
  </si>
  <si>
    <t>Marketable Securities</t>
  </si>
  <si>
    <t>Trade and Other Receivables</t>
  </si>
  <si>
    <t>Inventories</t>
  </si>
  <si>
    <t>Financial Services Finance Receivables, Net</t>
  </si>
  <si>
    <t>Asset Held for Sale</t>
  </si>
  <si>
    <t>Other Current Assets</t>
  </si>
  <si>
    <t>Total Current Assets</t>
  </si>
  <si>
    <t>Noncurrent Assets</t>
  </si>
  <si>
    <t>Net Property</t>
  </si>
  <si>
    <t>Net Investment in Operating Leases</t>
  </si>
  <si>
    <t>Equity in Net Assets of Affiliated Companies</t>
  </si>
  <si>
    <t>Deferred Income Taxes</t>
  </si>
  <si>
    <t>Ford Credit Finance Receivables, Net</t>
  </si>
  <si>
    <t>Other Assets</t>
  </si>
  <si>
    <t>Total Assets</t>
  </si>
  <si>
    <t>Current Liabilities</t>
  </si>
  <si>
    <t>Company Excluding Ford Credit</t>
  </si>
  <si>
    <t>Ford Credit</t>
  </si>
  <si>
    <t>Ford Credit Debt Payable within One Year</t>
  </si>
  <si>
    <t>Payables</t>
  </si>
  <si>
    <t>Other Liabilities and Deferred Revenue</t>
  </si>
  <si>
    <t>Total Current Liabilities</t>
  </si>
  <si>
    <t>Noncurrent Liabilities</t>
  </si>
  <si>
    <t>Minority Interest</t>
  </si>
  <si>
    <t>Ford Credit Long- Term Debt</t>
  </si>
  <si>
    <t>Shareholders' Equity</t>
  </si>
  <si>
    <t>Common Stock - Par Value</t>
  </si>
  <si>
    <t>Additional Paid in Capital</t>
  </si>
  <si>
    <t>Treasury Stock - Common</t>
  </si>
  <si>
    <t>Retained Earnings</t>
  </si>
  <si>
    <t>Retained Earnings (Accumulated Deficit)</t>
  </si>
  <si>
    <t>Accumulated Other Comprehensive Income (Loss)</t>
  </si>
  <si>
    <t>Total Shareholders Equity</t>
  </si>
  <si>
    <t>Total Liabilities &amp; Shareholders Equity</t>
  </si>
  <si>
    <t xml:space="preserve">Total liabilties </t>
  </si>
  <si>
    <t>Common Size balance sheet</t>
  </si>
  <si>
    <t>% of Total assests = (line item/total assests)x100</t>
  </si>
  <si>
    <t>Long Term Liabilities</t>
  </si>
  <si>
    <t xml:space="preserve">  </t>
  </si>
  <si>
    <t>Net Working Capital = CA-CL</t>
  </si>
  <si>
    <t>(Notes payable(NP))</t>
  </si>
  <si>
    <t>Net Operating Working Capital = CA-(CL-NP)</t>
  </si>
  <si>
    <t>Change in Working Capital (current year - previous year)</t>
  </si>
  <si>
    <t>Free Cash Flow = (EBIT(1-T)+Dep)-(Capex + Change in NOWC)</t>
  </si>
  <si>
    <t>Capex = NFA1- NFA0 +DEP</t>
  </si>
  <si>
    <t>(Total current assests- Minus Ford Credit) - (Total current liabilities Minus Ford Credit Debt)</t>
  </si>
  <si>
    <t>Year</t>
  </si>
  <si>
    <t>-</t>
  </si>
  <si>
    <t>% change</t>
  </si>
  <si>
    <t>Total Equity</t>
  </si>
  <si>
    <t>% Change</t>
  </si>
  <si>
    <t>Property-net</t>
  </si>
  <si>
    <t xml:space="preserve">     Total Assets</t>
  </si>
  <si>
    <t>Long-Term Debt</t>
  </si>
  <si>
    <t xml:space="preserve">     Total Liabilities</t>
  </si>
  <si>
    <t xml:space="preserve">     Total Equity</t>
  </si>
  <si>
    <t>% Change AR</t>
  </si>
  <si>
    <t>Revenue</t>
  </si>
  <si>
    <t>% Change Rev</t>
  </si>
  <si>
    <t>*Please use calculations as shown in the slides and/or textbook (please do not use the internet)</t>
  </si>
  <si>
    <t>Liquidity Ratios</t>
  </si>
  <si>
    <t>Current Ratio</t>
  </si>
  <si>
    <t>Quick Ratio</t>
  </si>
  <si>
    <t>Cash Ratio</t>
  </si>
  <si>
    <t>Solvency Ratios</t>
  </si>
  <si>
    <t>Long-term Debt to Equity</t>
  </si>
  <si>
    <t>Debt to Equity</t>
  </si>
  <si>
    <t>Debt to Assets</t>
  </si>
  <si>
    <t>Debt to Capital</t>
  </si>
  <si>
    <t>Financial Leverage</t>
  </si>
  <si>
    <t>Equity to Assets</t>
  </si>
  <si>
    <t>Other Ratios</t>
  </si>
  <si>
    <t>Current Assets to Total Assets</t>
  </si>
  <si>
    <t>Non-current Assets to Total Assets</t>
  </si>
  <si>
    <t>Current Liabilities to Total Liabilities</t>
  </si>
  <si>
    <t>Non-current Liabilities to Total Liaibilities</t>
  </si>
  <si>
    <t>Retained Earnings to Total Equity</t>
  </si>
  <si>
    <t>AOCI to Total Equity</t>
  </si>
  <si>
    <t>Paid-In Capital to Total Equity</t>
  </si>
  <si>
    <t>Insert any figures requested in the deliverable instructions here:</t>
  </si>
  <si>
    <t>Revenues</t>
  </si>
  <si>
    <t>Product Revenues</t>
  </si>
  <si>
    <t>Company excluding Ford Credit</t>
  </si>
  <si>
    <t>Automotive</t>
  </si>
  <si>
    <t>Mobility</t>
  </si>
  <si>
    <t>Financial Services Revenues</t>
  </si>
  <si>
    <t>Total Revenues</t>
  </si>
  <si>
    <t>Expenses</t>
  </si>
  <si>
    <t>Cost of Sales</t>
  </si>
  <si>
    <t>Depreciation and Tooling Amortization</t>
  </si>
  <si>
    <t>Operating Expenses - Fin. Div.</t>
  </si>
  <si>
    <t>Ford Credit Interest, Operating, and Other Expenses</t>
  </si>
  <si>
    <t>Selling Administrative and Other Expenses</t>
  </si>
  <si>
    <t>Interest Expense on Company Debt Excluding Ford Credit</t>
  </si>
  <si>
    <t>Interest Expense</t>
  </si>
  <si>
    <t>Equity in Net (Loss)/income of Affiliated Companies</t>
  </si>
  <si>
    <t>Other Income (Loss), Net</t>
  </si>
  <si>
    <t>Income/(Loss) before Income Taxes-financial Services</t>
  </si>
  <si>
    <t>Income (Loss) before Income Taxes</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</si>
  <si>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</si>
  <si>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</si>
  <si>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</si>
  <si>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</si>
  <si>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</si>
  <si>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</si>
  <si>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</si>
  <si>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</si>
  <si>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</si>
  <si>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Share Count</t>
  </si>
  <si>
    <t>% of revenue = (line item/total rev)</t>
  </si>
  <si>
    <t>Create a Line Graph of Revenues, Operating Incomes and Net Incomes through time</t>
  </si>
  <si>
    <t>OpInc</t>
  </si>
  <si>
    <t>Net Income</t>
  </si>
  <si>
    <t>Revenue ($Amt)</t>
  </si>
  <si>
    <t xml:space="preserve">Revenue Growth (or Decline) </t>
  </si>
  <si>
    <t>EBITDA ($Amt)</t>
  </si>
  <si>
    <t>EBITDA Growth (or Decline)</t>
  </si>
  <si>
    <t>Operating Income ($Amt)</t>
  </si>
  <si>
    <t>Operating Income Growth (or Decline)</t>
  </si>
  <si>
    <t>Net Income ($Amt)</t>
  </si>
  <si>
    <t xml:space="preserve">Net Income Growth (or Decline) </t>
  </si>
  <si>
    <t>Profit Measures</t>
  </si>
  <si>
    <t>Gross Margin</t>
  </si>
  <si>
    <t>Operating Margin</t>
  </si>
  <si>
    <t>Pre-tax Margin</t>
  </si>
  <si>
    <t>Profit Margin</t>
  </si>
  <si>
    <t>Earnings Per Share Measures</t>
  </si>
  <si>
    <t>Basic EPS</t>
  </si>
  <si>
    <t>Diluted EPS</t>
  </si>
  <si>
    <t>Comprehensive Income Measures</t>
  </si>
  <si>
    <t>Net Income/Total Comprehensive Income</t>
  </si>
  <si>
    <t>Other Comprehensive Income / Total Comprehensive Income</t>
  </si>
  <si>
    <t>EBIT</t>
  </si>
  <si>
    <t>Net income/(loss)</t>
  </si>
  <si>
    <t>Foreign currency translation</t>
  </si>
  <si>
    <t>Marketable securities</t>
  </si>
  <si>
    <t>Derivative instruments</t>
  </si>
  <si>
    <t>Pension and other postretirement benefits</t>
  </si>
  <si>
    <t>Total other comprehensive income/(loss), net of tax</t>
  </si>
  <si>
    <t>Comprehensive income/(loss)</t>
  </si>
  <si>
    <t>Less: Comprehensive income/(loss) attributable to noncontrolling interests</t>
  </si>
  <si>
    <t>Comprehensive income/(loss) attributable to Ford Motor Company</t>
  </si>
  <si>
    <t>Operating Activities</t>
  </si>
  <si>
    <t>Net Income (Loss) from Continuing Operations</t>
  </si>
  <si>
    <t>Depreciation and Amortization</t>
  </si>
  <si>
    <t>Other Amortization</t>
  </si>
  <si>
    <t>Held-for-sale Impairment Charges</t>
  </si>
  <si>
    <t>Net Gain/loss on Changes in Investments in Affiliates</t>
  </si>
  <si>
    <t>EV asset impairment/program Cancellation asset write-downs</t>
  </si>
  <si>
    <t>Brazil Manufacturing Exit Non-cash Charges (excluding Accelerated Depreciation</t>
  </si>
  <si>
    <t>Net Losses/(Earnings) from Equity Investments in Excess of Dividends Remitted</t>
  </si>
  <si>
    <t>Equity Method Investment (Earnings)/Losses and Impairments in Excess of Dividends Received</t>
  </si>
  <si>
    <t>Stock Compensation</t>
  </si>
  <si>
    <t>Provision for Credit/insurance Losses</t>
  </si>
  <si>
    <t>Provision For/(benefit From) Credit and Insurance Losses</t>
  </si>
  <si>
    <t>Foreign Currency Adjustments</t>
  </si>
  <si>
    <t>Others</t>
  </si>
  <si>
    <t>Gain/loss on Extinguishment of Debt</t>
  </si>
  <si>
    <t>Pension and Other Postretirement Employee Benefits (opeb) Income/expense</t>
  </si>
  <si>
    <t>Net Realized and Unrealized Gain/loss on Cash Equivalents, Marketable Securities, and Other Investments</t>
  </si>
  <si>
    <t>Accounts Receivable and Other Current Assets</t>
  </si>
  <si>
    <t>Changes in Finance Receivables (wholesale and Other)</t>
  </si>
  <si>
    <t>Changes in Inventory</t>
  </si>
  <si>
    <t>Accounts Payable and Other Liabilities</t>
  </si>
  <si>
    <t>(Credit) Provision for Deferred Income Taxes</t>
  </si>
  <si>
    <t>Cash Flow from Operating Activities</t>
  </si>
  <si>
    <t>Investing Activities</t>
  </si>
  <si>
    <t>Capital Spending</t>
  </si>
  <si>
    <t>Proceeds from Sale of Businesses</t>
  </si>
  <si>
    <t>Return of Capital from Equity Method Investment</t>
  </si>
  <si>
    <t>Capital Contributions to Equity Method Investments</t>
  </si>
  <si>
    <t>Purchase of Marketable Securities and Other Investments</t>
  </si>
  <si>
    <t>Sales and Maturities of Marketable Securities and Other Investments</t>
  </si>
  <si>
    <t>Acquisitions of Finance Receivables and Operating Leases</t>
  </si>
  <si>
    <t>Collections of Finance Receivables and Operating Leases</t>
  </si>
  <si>
    <t>Settlement of Derivative</t>
  </si>
  <si>
    <t>Cash Flow from Investing Activities</t>
  </si>
  <si>
    <t>Financing Activities</t>
  </si>
  <si>
    <t>Principal Payments on Long-term Debt</t>
  </si>
  <si>
    <t>Proceeds from Issuance of Long-term Debt</t>
  </si>
  <si>
    <t>Net Change in Short-term Debt</t>
  </si>
  <si>
    <t>Purchase of Treasury Stock</t>
  </si>
  <si>
    <t>Cash Dividends</t>
  </si>
  <si>
    <t>Cash Flow from Financing Activities</t>
  </si>
  <si>
    <t>Other Adjustments</t>
  </si>
  <si>
    <t>Foreign Exchange Rate Effect on Cash and Cash Equivalents</t>
  </si>
  <si>
    <t>Cash Flow Net Changes in Cash</t>
  </si>
  <si>
    <t>CF Ratios</t>
  </si>
  <si>
    <t>Cash Flow to Revenue</t>
  </si>
  <si>
    <t>Cash Return on Assets</t>
  </si>
  <si>
    <t xml:space="preserve">Cash Return on Equity </t>
  </si>
  <si>
    <t>Cash to Income</t>
  </si>
  <si>
    <t>Cash Flow per Share</t>
  </si>
  <si>
    <t xml:space="preserve">Debt Coverage </t>
  </si>
  <si>
    <t>Interest Coverage</t>
  </si>
  <si>
    <t>Reinvestment</t>
  </si>
  <si>
    <t>Debt Payment</t>
  </si>
  <si>
    <t>Dividend Payment</t>
  </si>
  <si>
    <t>Investing and financing</t>
  </si>
  <si>
    <t>CF - Operating</t>
  </si>
  <si>
    <t>% Change - Operating</t>
  </si>
  <si>
    <t>CF - Investing</t>
  </si>
  <si>
    <t>% Change - Investing</t>
  </si>
  <si>
    <t>CF - Financing</t>
  </si>
  <si>
    <t>% Change - Financing</t>
  </si>
  <si>
    <t>Cash Flow from Operating Activities:</t>
  </si>
  <si>
    <t>Cash received from customers</t>
  </si>
  <si>
    <t>Cash paid to suppliers</t>
  </si>
  <si>
    <t>Cash paid to employees</t>
  </si>
  <si>
    <t>N/A</t>
  </si>
  <si>
    <t>Cash paid for other operating expenses</t>
  </si>
  <si>
    <t>Cash paid for interest</t>
  </si>
  <si>
    <t>Cash paid for income tax</t>
  </si>
  <si>
    <t>Net Cash provided from operating activities</t>
  </si>
  <si>
    <t>Cash Received from Customers</t>
  </si>
  <si>
    <t>Beginning Accounts Receivable</t>
  </si>
  <si>
    <t>Plus: Revenue</t>
  </si>
  <si>
    <t>Subtract: Ending Accounts Receivable*</t>
  </si>
  <si>
    <t>*Decrease(Increase) in AR found in Statement of Cash Flow</t>
  </si>
  <si>
    <t>Cash Paid to Suppliers</t>
  </si>
  <si>
    <t>Cost of Goods Sold</t>
  </si>
  <si>
    <t>Add (Subtract): Increase (Decrease) in Inventory</t>
  </si>
  <si>
    <t>Equals purchases from Suppliers</t>
  </si>
  <si>
    <t>Subtract (Add): Increases (Decreases) in Accounts Payable</t>
  </si>
  <si>
    <t>Cash Paid to Employees</t>
  </si>
  <si>
    <t>Salary and Wage Expense</t>
  </si>
  <si>
    <t>Subtract (Add): Increases (Decreases) in Salary and Wages Payable</t>
  </si>
  <si>
    <t>Cash Paid for Other Operating Expenses</t>
  </si>
  <si>
    <t>Other Operating Expenses</t>
  </si>
  <si>
    <t>Subtract (Add): Decreases (Increases) in Prepaid Expenses</t>
  </si>
  <si>
    <t>Subtract (Add): Increases in Accrued Liabilities</t>
  </si>
  <si>
    <t>Cash Paid for other operating expenses</t>
  </si>
  <si>
    <t>Cash Paid for Interest</t>
  </si>
  <si>
    <t>Add (Subtract): Decreases (Increases) in Interest payables</t>
  </si>
  <si>
    <t>*Cash paid for interest found in Notes to the Financial Statements - Debt and Commitments</t>
  </si>
  <si>
    <t>(Note 18 on 2025 10-K, Note 19 on 2022 10-K, Note 20 on 2019 10-K)</t>
  </si>
  <si>
    <t>Cash paid for Income Taxes</t>
  </si>
  <si>
    <t>Income tax expens</t>
  </si>
  <si>
    <t>Subtract (Add): Increases (decreases) in income tax payables</t>
  </si>
  <si>
    <t>Cash paid for income taxes</t>
  </si>
  <si>
    <t>*Cash paid for income taxes found in Notes to the Financial Statements - Note 7 - Income Taxes on 10-K</t>
  </si>
  <si>
    <t>Total</t>
  </si>
  <si>
    <t>Total (excl NCI)</t>
  </si>
  <si>
    <t>Capital Stock</t>
  </si>
  <si>
    <t>Cap. in Excess of Par Value</t>
  </si>
  <si>
    <t>Retained Earnings/(Accum Deficit)</t>
  </si>
  <si>
    <t>Accum Other Comprehensive Income/(Loss)</t>
  </si>
  <si>
    <t>Treasury Stock</t>
  </si>
  <si>
    <t>Equity Attr to Noncontrolling Interests</t>
  </si>
  <si>
    <t>Consolidated Statement of Equity - Year Ended Dec. 31, 2025 ($ in Millions)</t>
  </si>
  <si>
    <t>Beginning Balance at Dec. 31, 2024</t>
  </si>
  <si>
    <t>Other comprehensive income/(loss), net of tax</t>
  </si>
  <si>
    <t>Common stock issued</t>
  </si>
  <si>
    <t>Dividend and dividend equivalents declared</t>
  </si>
  <si>
    <t>Ending Balance at Dec. 31, 2025</t>
  </si>
  <si>
    <t>Consolidated Statement of Equity - Year Ended Dec. 31, 2024 ($ in Millions)</t>
  </si>
  <si>
    <t>Beginning Balance at Dec. 31, 2023</t>
  </si>
  <si>
    <t>Treasury stock/other</t>
  </si>
  <si>
    <t>Ending Balance at Dec. 31, 2024</t>
  </si>
  <si>
    <t>Consolidated Statement of Equity - Year Ended Dec. 31, 2023 ($ in Millions)</t>
  </si>
  <si>
    <t>Beginning Balance at Dec. 31, 2022</t>
  </si>
  <si>
    <t>Ending Balance at Dec. 31, 2023</t>
  </si>
  <si>
    <t>Consolidated Statement of Equity - Year Ended Dec. 31, 2022 ($ in Millions)</t>
  </si>
  <si>
    <t>Beginning Balance at Dec. 31, 2021</t>
  </si>
  <si>
    <t>Ending Balance at Dec. 31, 2022</t>
  </si>
  <si>
    <t>Consolidated Statement of Equity - Year Ended Dec. 31, 2021 ($ in Millions)</t>
  </si>
  <si>
    <t>Beginning Balance at Dec. 31, 2020</t>
  </si>
  <si>
    <t>Cumulative effect adjustment (ASU 2016-02)</t>
  </si>
  <si>
    <t>Ending Balance at Dec. 31, 2021</t>
  </si>
  <si>
    <t>Consolidated Statement of Equity - Year Ended Dec. 31, 2020 ($ in Millions)</t>
  </si>
  <si>
    <t>Beginning Balance at Dec. 31, 2019</t>
  </si>
  <si>
    <t>Ending Balance at Dec. 31, 2020</t>
  </si>
  <si>
    <t>Line Items</t>
  </si>
  <si>
    <t>Revenue ($ Amt)</t>
  </si>
  <si>
    <t>Revenue (%change from Horizontal Analysis)</t>
  </si>
  <si>
    <t>GrossProfit [EBITDA] ($ Amt)</t>
  </si>
  <si>
    <t>Gross Profit [EBITDA] (%change from Horizontal Analysis)</t>
  </si>
  <si>
    <t>Operating Income ($ Amt)</t>
  </si>
  <si>
    <t>Operating Income (%change from Horizontal Analysis)</t>
  </si>
  <si>
    <t>Income ($Amt)</t>
  </si>
  <si>
    <t>Income (%change from Horizontal Analysis)</t>
  </si>
  <si>
    <t>Profitability Ratios</t>
  </si>
  <si>
    <t>ROE</t>
  </si>
  <si>
    <t>Two factor Disaggregation of ROE</t>
  </si>
  <si>
    <t>ROA</t>
  </si>
  <si>
    <t>Leverage</t>
  </si>
  <si>
    <t>Three factor Disaggregation of ROE</t>
  </si>
  <si>
    <t>Asset Turnover</t>
  </si>
  <si>
    <t>Five factor Disaggregation of ROE</t>
  </si>
  <si>
    <t>Tax Burden</t>
  </si>
  <si>
    <t>Interest Burden</t>
  </si>
  <si>
    <t>EBIT Margin</t>
  </si>
  <si>
    <t>Activity Ratios</t>
  </si>
  <si>
    <t>Working Capital Turnover</t>
  </si>
  <si>
    <t>Revenue / Average Working Capital</t>
  </si>
  <si>
    <t>Fixed Asset Turnover</t>
  </si>
  <si>
    <t>Revenue / Average Net Fixed Assets</t>
  </si>
  <si>
    <t>Total Asset Turnover</t>
  </si>
  <si>
    <t>Revenue / Average Total Assets</t>
  </si>
  <si>
    <t>Cash Conversion Cycle:</t>
  </si>
  <si>
    <t>Inventory Turnover</t>
  </si>
  <si>
    <t>Cost of sales / Average Inventory</t>
  </si>
  <si>
    <t>Days of Inventory on Hand (DOH)</t>
  </si>
  <si>
    <t>365 / Inventory Turnover</t>
  </si>
  <si>
    <t>Receivables Turnover</t>
  </si>
  <si>
    <t>Revenue/ Average Receivables</t>
  </si>
  <si>
    <t>Days Sales Outstanding (DSO)</t>
  </si>
  <si>
    <t>365 / Receivables Turnover</t>
  </si>
  <si>
    <t>Payables Turnover</t>
  </si>
  <si>
    <t>Purchases / Average Trade Payables</t>
  </si>
  <si>
    <t>Number Days in Payables (DPO)</t>
  </si>
  <si>
    <t>365 / Payables Turnover</t>
  </si>
  <si>
    <t>Cash Conversion Cycle</t>
  </si>
  <si>
    <t>Debt Ratios:</t>
  </si>
  <si>
    <t>Debt to Total Assets</t>
  </si>
  <si>
    <t>Debt to Total Capital</t>
  </si>
  <si>
    <t>Coverage Interest Ratios:</t>
  </si>
  <si>
    <t>EBIT Interest Coverage</t>
  </si>
  <si>
    <t>Fixed Charge Coverage</t>
  </si>
  <si>
    <t>Z-Score Calculation</t>
  </si>
  <si>
    <t>Weighting Factor</t>
  </si>
  <si>
    <t>Working Capital to Total Asset</t>
  </si>
  <si>
    <t>Retained Earnings to Total Capital</t>
  </si>
  <si>
    <t>EBIT to Total Assets</t>
  </si>
  <si>
    <t>Market Value of Equity to Book Value of Liabilities</t>
  </si>
  <si>
    <t>Sales to Total Assets</t>
  </si>
  <si>
    <t>Z-Score</t>
  </si>
  <si>
    <t>*Please note the formulas and the historical estimated credit ratings are found in the Deliverable Instructions.</t>
  </si>
  <si>
    <t>EBITA to average assets = EBIT/Avg Assets</t>
  </si>
  <si>
    <t>Estimated Credit Rating</t>
  </si>
  <si>
    <t>C</t>
  </si>
  <si>
    <t>Operating Income Margin = EBT/Sales</t>
  </si>
  <si>
    <t>Baa</t>
  </si>
  <si>
    <t>EBITA margin = EBIT/Sales</t>
  </si>
  <si>
    <t>B</t>
  </si>
  <si>
    <t>EBITA interest coverage = EBIT/Interest Expense</t>
  </si>
  <si>
    <t>(FFO + Interest Expense)/Interest Expense</t>
  </si>
  <si>
    <t>Debt to EBITDA = (Short term Debt + Long Term Debt)/EBITDA</t>
  </si>
  <si>
    <t>Debt to Book Capitalization = (Short term Debt + Long Term Debt)/ (Short term Debt + Long Term Debt+Deferred Taxes+Minority Interest+ Book Equity)</t>
  </si>
  <si>
    <t>FFO to Debt</t>
  </si>
  <si>
    <t>RCF to Debt = Retained Cash Flow/Debt</t>
  </si>
  <si>
    <t>Capex to Depreciation = CapEx/Depreciation</t>
  </si>
  <si>
    <t>Estimated Long Term Debt Rating</t>
  </si>
  <si>
    <t>Trailing Price Multiples</t>
  </si>
  <si>
    <t>P/E</t>
  </si>
  <si>
    <t>P/CF</t>
  </si>
  <si>
    <t>P/S</t>
  </si>
  <si>
    <t>P/BV</t>
  </si>
  <si>
    <t>Mkt Price</t>
  </si>
  <si>
    <t>EPS</t>
  </si>
  <si>
    <t>Cash Flow</t>
  </si>
  <si>
    <t>Book Value</t>
  </si>
  <si>
    <t xml:space="preserve">Note:Use the market price that is closest to the end of the reporting year as possible.  Thus if you Balance sheet says "As of June 30, 2017." Find the stock price that is closest to that date.  You can find price history on Yahoo Finance.  </t>
  </si>
  <si>
    <t>Leading Price Multiples</t>
  </si>
  <si>
    <t>Year (t=+1)</t>
  </si>
  <si>
    <t>Forecasted EPS</t>
  </si>
  <si>
    <t>*yahoo, analyst estimates page</t>
  </si>
  <si>
    <t>Leading P/E (Leading P/E = P0/EPS1)</t>
  </si>
  <si>
    <t xml:space="preserve">Enterprise Value and Residual Income </t>
  </si>
  <si>
    <t>Market Value of Debt (Use Book Value as proxy)</t>
  </si>
  <si>
    <t>Market Value of Preferred Stock (if applicable…use Book Value as proxy)</t>
  </si>
  <si>
    <t>Market Value of Equity (Market Capitalization)</t>
  </si>
  <si>
    <t>Cash and Short-term investments</t>
  </si>
  <si>
    <t>Minority Interest  (aka Non-controlling Interest)</t>
  </si>
  <si>
    <t>Enterprise Value  (Enterprise value = Market value of common equity + Market value of preferred stock + Market value of debt + Minority Interest – Value of cash and short-term investments)</t>
  </si>
  <si>
    <t>EBITDA</t>
  </si>
  <si>
    <t>Enterprise Value to EBITDA (EV/EBITDA = Enterprise Value/EBITDA)</t>
  </si>
  <si>
    <t>Cost of Equity Capital</t>
  </si>
  <si>
    <t>Equity Capital</t>
  </si>
  <si>
    <t>Equity charge = Cost of equity capital × Equity capital</t>
  </si>
  <si>
    <t xml:space="preserve">Net Income </t>
  </si>
  <si>
    <t xml:space="preserve">Residual Income </t>
  </si>
  <si>
    <t>Revenue per share</t>
  </si>
  <si>
    <t>*need rev per share to calculate P/S</t>
  </si>
  <si>
    <t>*Note the future years are represented with t=+1, t=+2, etc.</t>
  </si>
  <si>
    <t>Year(t=+1)</t>
  </si>
  <si>
    <t>Year(t=+2)</t>
  </si>
  <si>
    <t>Year(t=+3)</t>
  </si>
  <si>
    <t>Year(t=+4)</t>
  </si>
  <si>
    <t>Year(t=+5)</t>
  </si>
  <si>
    <t>Thereafter</t>
  </si>
  <si>
    <t>Principal Coming Due</t>
  </si>
  <si>
    <t xml:space="preserve">This tab walks you through several places where managers have flexibility and can shift income (the stuff that we have hit throughout the term), and hopefully gets you to think about it holistically.   </t>
  </si>
  <si>
    <t>Income shifting is hard to prove, but like a lawyer you look for mounting evidence.  Thus if you see multiple places where it appears suspect, then you can build a case for it.</t>
  </si>
  <si>
    <t>Revenue Recognition:</t>
  </si>
  <si>
    <t>Did Revenue Recognition Policy Change?</t>
  </si>
  <si>
    <t>Was change Aggressive, Conservative, or Nuetral?</t>
  </si>
  <si>
    <t>Are there long-term contracts?</t>
  </si>
  <si>
    <t>Barter transactions?</t>
  </si>
  <si>
    <t>Bill and Hold transactions?</t>
  </si>
  <si>
    <t>Installment Sales?</t>
  </si>
  <si>
    <t>Were there Sales Allowances?</t>
  </si>
  <si>
    <t>Revenue Amt ($)</t>
  </si>
  <si>
    <t>Revenue Growth (%Growth)</t>
  </si>
  <si>
    <t>Potential for Income Shifting?</t>
  </si>
  <si>
    <t>Restructuring Expense</t>
  </si>
  <si>
    <t>Further Accruals Made?</t>
  </si>
  <si>
    <t>Reversals Made?</t>
  </si>
  <si>
    <t>Accounts Receivable:</t>
  </si>
  <si>
    <t>Review Footnotes related to AR.  Were there any changes?</t>
  </si>
  <si>
    <t>AR Amounts Reported on Bal Sheet (Net of Allowances)</t>
  </si>
  <si>
    <t>Allowance Amounts</t>
  </si>
  <si>
    <t>Gross AR (AR + Allowances)</t>
  </si>
  <si>
    <t xml:space="preserve">Allowance to Gross AR Ratio (i.e. what percentage the firm thinks is uncollectible) = Allowance Amt/Gross AR </t>
  </si>
  <si>
    <t>Bad Debt Expense</t>
  </si>
  <si>
    <t>Bad Debt to Sales Ratio</t>
  </si>
  <si>
    <t>AR to Sales Ratio (note that it's the inverse of AR turnover)</t>
  </si>
  <si>
    <t>Accounts Receivable Turnover</t>
  </si>
  <si>
    <t>DSO</t>
  </si>
  <si>
    <t>Inventory:</t>
  </si>
  <si>
    <t>Inventory Costing Method Used</t>
  </si>
  <si>
    <t>Any Changes to Inventory Costing methods in Significant Accounting Policies?</t>
  </si>
  <si>
    <t>Inventory Growth</t>
  </si>
  <si>
    <t>Sales Growth</t>
  </si>
  <si>
    <t xml:space="preserve">Gross Profit Margin </t>
  </si>
  <si>
    <t>Days of Inventory on Hand</t>
  </si>
  <si>
    <t>Inventory Write-downs (Yes/No)?</t>
  </si>
  <si>
    <t>LIFO Liquidations (if applicable)</t>
  </si>
  <si>
    <t>Potential For Income Shifting?</t>
  </si>
  <si>
    <t>PP&amp;E:</t>
  </si>
  <si>
    <t>Review Significant Accounting Policies for PP&amp;E (and any other applicable footnotes).  Were there any changes over the years?  Eg. Did they make any changes to Useful Lives in how they depreciate different asset classes (buildings, office equipment, etc.).</t>
  </si>
  <si>
    <t>Was the change Aggressive, Conservative or Nuetral?</t>
  </si>
  <si>
    <t>Were there any write-downs with regards to their PP&amp;E?</t>
  </si>
  <si>
    <t xml:space="preserve">PPE Turnover </t>
  </si>
  <si>
    <t>Average Useful Life = depreciable Asset Costs/Depreciation Expense</t>
  </si>
  <si>
    <t>Percent Used Up = Accumulated Depreciation / Depreciable Asset Costs</t>
  </si>
  <si>
    <t>Intangible Assets</t>
  </si>
  <si>
    <t xml:space="preserve">Review Significant Accounting Policies and any applicable footnotes for Intangibles (Goodwill and/or Other Intangibles).  Were there any changes over the years?  </t>
  </si>
  <si>
    <t>Were there any write-downs of Intangible Assets (Goodwill or Other Intangible Assets)?</t>
  </si>
  <si>
    <t>CFO to Income</t>
  </si>
  <si>
    <t>CFO to Op. Income = CFO/Operating Income</t>
  </si>
  <si>
    <t>%Change = (new-old)/abs(old)</t>
  </si>
  <si>
    <t>CFO to Income = CFO/Net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</si>
</sst>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
    <numFmt numFmtId="165" formatCode="&quot;$&quot;#,##0"/>
    <numFmt numFmtId="166" formatCode="0.0000"/>
  </numFmts>
  <fonts count="13">
    <font>
      <sz val="11"/>
      <color theme="1"/>
      <name val="Calibri"/>
      <family val="2"/>
      <scheme val="minor"/>
    </font>
    <font>
      <b/>
      <sz val="11"/>
      <color theme="1"/>
      <name val="Calibri"/>
      <family val="2"/>
      <scheme val="minor"/>
    </font>
    <font>
      <i/>
      <sz val="11"/>
      <color theme="1"/>
      <name val="Calibri"/>
      <family val="2"/>
      <scheme val="minor"/>
    </font>
    <font>
      <b/>
      <i/>
      <u/>
      <sz val="11"/>
      <color theme="1"/>
      <name val="Calibri"/>
      <family val="2"/>
      <scheme val="minor"/>
    </font>
    <font>
      <i/>
      <sz val="10"/>
      <color theme="1"/>
      <name val="Calibri"/>
      <family val="2"/>
      <scheme val="minor"/>
    </font>
    <font>
      <b/>
      <sz val="14"/>
      <color theme="1"/>
      <name val="Calibri"/>
      <family val="2"/>
      <scheme val="minor"/>
    </font>
    <font>
      <b/>
      <sz val="11"/>
      <color rgb="FF000000"/>
      <name val="Calibri"/>
      <family val="2"/>
      <charset val="1"/>
    </font>
    <font>
      <sz val="11"/>
      <color rgb="FF000000"/>
      <name val="Calibri"/>
      <family val="2"/>
      <charset val="1"/>
    </font>
    <font>
      <b/>
      <sz val="11"/>
      <color rgb="FF000000"/>
      <name val="Calibri"/>
      <family val="2"/>
      <scheme val="minor"/>
    </font>
    <font>
      <u/>
      <sz val="11"/>
      <color theme="1"/>
      <name val="Calibri"/>
      <family val="2"/>
      <scheme val="minor"/>
    </font>
    <font>
      <u/>
      <sz val="11"/>
      <color theme="10"/>
      <name val="Calibri"/>
      <family val="2"/>
      <scheme val="minor"/>
    </font>
    <font>
      <b/>
      <sz val="8"/>
      <color rgb="FF000000"/>
      <name val="Calibri"/>
      <family val="2"/>
      <scheme val="minor"/>
    </font>
    <font>
      <sz val="11"/>
      <color theme="1"/>
      <name val="Calibri"/>
      <family val="2"/>
      <scheme val="minor"/>
    </font>
  </fonts>
  <fills count="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39997558519241921"/>
        <bgColor indexed="64"/>
      </patternFill>
    </fill>
  </fills>
  <borders count="6">
    <border>
      <left/>
      <right/>
      <top/>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thin">
        <color indexed="64"/>
      </top>
      <bottom style="thin">
        <color indexed="64"/>
      </bottom>
      <diagonal/>
    </border>
    <border>
      <left/>
      <right/>
      <top/>
      <bottom style="thin">
        <color rgb="FF000000"/>
      </bottom>
      <diagonal/>
    </border>
  </borders>
  <cellStyleXfs count="3">
    <xf numFmtId="0" fontId="0" fillId="0" borderId="0"/>
    <xf numFmtId="0" fontId="10" fillId="0" borderId="0" applyNumberFormat="0" applyFill="0" applyBorder="0" applyAlignment="0" applyProtection="0"/>
    <xf numFmtId="9" fontId="12" fillId="0" borderId="0" applyFont="0" applyFill="0" applyBorder="0" applyAlignment="0" applyProtection="0"/>
  </cellStyleXfs>
  <cellXfs count="83">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0" fillId="0" borderId="0" xfId="0" applyAlignment="1">
      <alignment wrapText="1"/>
    </xf>
    <xf numFmtId="3" fontId="0" fillId="0" borderId="0" xfId="0" applyNumberFormat="1" applyAlignment="1">
      <alignment wrapText="1"/>
    </xf>
    <xf numFmtId="6" fontId="0" fillId="0" borderId="0" xfId="0" applyNumberFormat="1" applyAlignment="1">
      <alignment wrapText="1"/>
    </xf>
    <xf numFmtId="0" fontId="1" fillId="0" borderId="0" xfId="0" applyFont="1" applyAlignment="1">
      <alignment wrapText="1"/>
    </xf>
    <xf numFmtId="0" fontId="1" fillId="0" borderId="1" xfId="0" applyFont="1" applyBorder="1"/>
    <xf numFmtId="0" fontId="0" fillId="0" borderId="1" xfId="0" applyBorder="1"/>
    <xf numFmtId="0" fontId="0" fillId="2" borderId="0" xfId="0" applyFill="1"/>
    <xf numFmtId="0" fontId="1" fillId="3" borderId="0" xfId="0" applyFont="1" applyFill="1"/>
    <xf numFmtId="0" fontId="0" fillId="3" borderId="0" xfId="0" applyFill="1"/>
    <xf numFmtId="0" fontId="0" fillId="4" borderId="0" xfId="0" applyFill="1"/>
    <xf numFmtId="0" fontId="1" fillId="4" borderId="0" xfId="0" applyFont="1" applyFill="1"/>
    <xf numFmtId="0" fontId="0" fillId="4" borderId="0" xfId="0" applyFill="1" applyAlignment="1">
      <alignment wrapText="1"/>
    </xf>
    <xf numFmtId="0" fontId="0" fillId="0" borderId="1" xfId="0" applyBorder="1" applyAlignment="1">
      <alignment wrapText="1"/>
    </xf>
    <xf numFmtId="0" fontId="1" fillId="0" borderId="1" xfId="0" applyFont="1" applyBorder="1" applyAlignment="1">
      <alignment wrapText="1"/>
    </xf>
    <xf numFmtId="0" fontId="0" fillId="4" borderId="1" xfId="0" applyFill="1" applyBorder="1" applyAlignment="1">
      <alignment wrapText="1"/>
    </xf>
    <xf numFmtId="0" fontId="0" fillId="4" borderId="1" xfId="0" applyFill="1" applyBorder="1"/>
    <xf numFmtId="0" fontId="1" fillId="4" borderId="0" xfId="0" applyFont="1" applyFill="1" applyAlignment="1">
      <alignment wrapText="1"/>
    </xf>
    <xf numFmtId="0" fontId="0" fillId="2" borderId="1" xfId="0" applyFill="1" applyBorder="1"/>
    <xf numFmtId="0" fontId="3" fillId="0" borderId="0" xfId="0" applyFont="1"/>
    <xf numFmtId="0" fontId="2" fillId="0" borderId="0" xfId="0" applyFont="1" applyAlignment="1">
      <alignment wrapText="1"/>
    </xf>
    <xf numFmtId="0" fontId="0" fillId="0" borderId="2" xfId="0" applyBorder="1"/>
    <xf numFmtId="0" fontId="0" fillId="4" borderId="0" xfId="0" applyFill="1" applyAlignment="1">
      <alignment vertical="center" wrapText="1"/>
    </xf>
    <xf numFmtId="0" fontId="1" fillId="4" borderId="1" xfId="0" applyFont="1" applyFill="1" applyBorder="1" applyAlignment="1">
      <alignment wrapText="1"/>
    </xf>
    <xf numFmtId="0" fontId="4" fillId="0" borderId="0" xfId="0" applyFont="1"/>
    <xf numFmtId="0" fontId="1" fillId="0" borderId="0" xfId="0" applyFont="1" applyAlignment="1">
      <alignment horizontal="center" vertical="center" wrapText="1"/>
    </xf>
    <xf numFmtId="0" fontId="0" fillId="0" borderId="3" xfId="0" applyBorder="1"/>
    <xf numFmtId="0" fontId="0" fillId="0" borderId="4" xfId="0" applyBorder="1"/>
    <xf numFmtId="0" fontId="5" fillId="0" borderId="0" xfId="0" applyFont="1"/>
    <xf numFmtId="0" fontId="5" fillId="0" borderId="1" xfId="0" applyFont="1" applyBorder="1"/>
    <xf numFmtId="0" fontId="6" fillId="0" borderId="0" xfId="0" applyFont="1"/>
    <xf numFmtId="0" fontId="7" fillId="0" borderId="0" xfId="0" applyFont="1"/>
    <xf numFmtId="0" fontId="8" fillId="0" borderId="0" xfId="0" applyFont="1"/>
    <xf numFmtId="10" fontId="0" fillId="0" borderId="0" xfId="0" applyNumberFormat="1" applyAlignment="1">
      <alignment wrapText="1"/>
    </xf>
    <xf numFmtId="0" fontId="9" fillId="0" borderId="0" xfId="0" applyFont="1"/>
    <xf numFmtId="9" fontId="0" fillId="0" borderId="0" xfId="0" applyNumberFormat="1"/>
    <xf numFmtId="10" fontId="0" fillId="0" borderId="0" xfId="0" applyNumberFormat="1"/>
    <xf numFmtId="0" fontId="10" fillId="0" borderId="0" xfId="1"/>
    <xf numFmtId="2" fontId="0" fillId="4" borderId="0" xfId="0" applyNumberFormat="1" applyFill="1"/>
    <xf numFmtId="2" fontId="0" fillId="0" borderId="0" xfId="0" applyNumberFormat="1"/>
    <xf numFmtId="2" fontId="0" fillId="4" borderId="1" xfId="0" applyNumberFormat="1" applyFill="1" applyBorder="1"/>
    <xf numFmtId="2" fontId="0" fillId="0" borderId="1" xfId="0" applyNumberFormat="1" applyBorder="1"/>
    <xf numFmtId="3" fontId="0" fillId="0" borderId="0" xfId="0" applyNumberFormat="1"/>
    <xf numFmtId="0" fontId="1" fillId="5" borderId="0" xfId="0" applyFont="1" applyFill="1" applyAlignment="1">
      <alignment horizontal="left" vertical="center" wrapText="1"/>
    </xf>
    <xf numFmtId="0" fontId="0" fillId="5" borderId="0" xfId="0" applyFill="1"/>
    <xf numFmtId="0" fontId="0" fillId="5" borderId="0" xfId="0" applyFill="1" applyAlignment="1">
      <alignment horizontal="center"/>
    </xf>
    <xf numFmtId="0" fontId="0" fillId="5" borderId="0" xfId="0" applyFill="1" applyAlignment="1">
      <alignment vertical="top" wrapText="1"/>
    </xf>
    <xf numFmtId="10" fontId="0" fillId="5" borderId="0" xfId="0" applyNumberFormat="1" applyFill="1"/>
    <xf numFmtId="10" fontId="0" fillId="5" borderId="0" xfId="0" applyNumberFormat="1" applyFill="1" applyAlignment="1">
      <alignment horizontal="center"/>
    </xf>
    <xf numFmtId="0" fontId="1" fillId="5" borderId="0" xfId="0" applyFont="1" applyFill="1" applyAlignment="1">
      <alignment horizontal="left" vertical="top" wrapText="1"/>
    </xf>
    <xf numFmtId="0" fontId="1" fillId="5" borderId="0" xfId="0" applyFont="1" applyFill="1"/>
    <xf numFmtId="0" fontId="0" fillId="4" borderId="0" xfId="0" applyFill="1" applyAlignment="1">
      <alignment horizontal="left" vertical="center" wrapText="1"/>
    </xf>
    <xf numFmtId="10" fontId="0" fillId="4" borderId="0" xfId="0" applyNumberFormat="1" applyFill="1"/>
    <xf numFmtId="10" fontId="0" fillId="4" borderId="0" xfId="0" applyNumberFormat="1" applyFill="1" applyAlignment="1">
      <alignment horizontal="center"/>
    </xf>
    <xf numFmtId="0" fontId="0" fillId="4" borderId="0" xfId="0" applyFill="1" applyAlignment="1">
      <alignment vertical="top" wrapText="1"/>
    </xf>
    <xf numFmtId="0" fontId="1" fillId="4" borderId="0" xfId="0" applyFont="1" applyFill="1" applyAlignment="1">
      <alignment vertical="top" wrapText="1"/>
    </xf>
    <xf numFmtId="10" fontId="0" fillId="0" borderId="1" xfId="0" applyNumberFormat="1" applyBorder="1"/>
    <xf numFmtId="10" fontId="0" fillId="4" borderId="1" xfId="0" applyNumberFormat="1" applyFill="1" applyBorder="1"/>
    <xf numFmtId="0" fontId="11" fillId="0" borderId="0" xfId="0" applyFont="1"/>
    <xf numFmtId="164" fontId="0" fillId="0" borderId="0" xfId="0" applyNumberFormat="1"/>
    <xf numFmtId="0" fontId="0" fillId="0" borderId="0" xfId="0" applyAlignment="1">
      <alignment horizontal="center"/>
    </xf>
    <xf numFmtId="10" fontId="0" fillId="0" borderId="0" xfId="0" applyNumberFormat="1" applyAlignment="1">
      <alignment horizontal="center"/>
    </xf>
    <xf numFmtId="10" fontId="0" fillId="0" borderId="1" xfId="0" applyNumberFormat="1" applyBorder="1" applyAlignment="1">
      <alignment horizontal="center"/>
    </xf>
    <xf numFmtId="165" fontId="0" fillId="0" borderId="0" xfId="0" applyNumberFormat="1" applyAlignment="1">
      <alignment horizontal="center"/>
    </xf>
    <xf numFmtId="165" fontId="0" fillId="0" borderId="0" xfId="0" applyNumberFormat="1"/>
    <xf numFmtId="6" fontId="0" fillId="0" borderId="0" xfId="0" applyNumberFormat="1"/>
    <xf numFmtId="166" fontId="0" fillId="0" borderId="0" xfId="0" applyNumberFormat="1"/>
    <xf numFmtId="166" fontId="0" fillId="0" borderId="1" xfId="0" applyNumberFormat="1" applyBorder="1"/>
    <xf numFmtId="165" fontId="0" fillId="4" borderId="0" xfId="0" applyNumberFormat="1" applyFill="1"/>
    <xf numFmtId="10" fontId="0" fillId="4" borderId="5" xfId="0" applyNumberFormat="1" applyFill="1" applyBorder="1"/>
    <xf numFmtId="166" fontId="1" fillId="4" borderId="0" xfId="0" applyNumberFormat="1" applyFont="1" applyFill="1"/>
    <xf numFmtId="166" fontId="1" fillId="0" borderId="0" xfId="0" applyNumberFormat="1" applyFont="1"/>
    <xf numFmtId="2" fontId="1" fillId="0" borderId="0" xfId="0" applyNumberFormat="1" applyFont="1"/>
    <xf numFmtId="2" fontId="1" fillId="4" borderId="1" xfId="0" applyNumberFormat="1" applyFont="1" applyFill="1" applyBorder="1"/>
    <xf numFmtId="2" fontId="1" fillId="4" borderId="0" xfId="0" applyNumberFormat="1" applyFont="1" applyFill="1"/>
    <xf numFmtId="10" fontId="0" fillId="4" borderId="0" xfId="2" applyNumberFormat="1" applyFont="1" applyFill="1"/>
    <xf numFmtId="0" fontId="0" fillId="4" borderId="0" xfId="2" applyNumberFormat="1" applyFont="1" applyFill="1"/>
    <xf numFmtId="2" fontId="1" fillId="0" borderId="1" xfId="0" applyNumberFormat="1" applyFont="1" applyBorder="1"/>
    <xf numFmtId="0" fontId="7" fillId="0" borderId="0" xfId="0" applyFont="1" applyAlignment="1"/>
    <xf numFmtId="0" fontId="6" fillId="0" borderId="0" xfId="0" applyFont="1" applyAlignment="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Balance Sheet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D2_BalanceSheetCommonSize!$A$12</c:f>
              <c:strCache>
                <c:ptCount val="1"/>
                <c:pt idx="0">
                  <c:v>Total Current Assets</c:v>
                </c:pt>
              </c:strCache>
            </c:strRef>
          </c:tx>
          <c:spPr>
            <a:ln w="28575" cap="rnd">
              <a:solidFill>
                <a:schemeClr val="accent1"/>
              </a:solidFill>
              <a:round/>
            </a:ln>
            <a:effectLst/>
          </c:spPr>
          <c:marker>
            <c:symbol val="none"/>
          </c:marker>
          <c:cat>
            <c:numRef>
              <c:f>D2_BalanceSheetCommonSize!$B$3:$G$3</c:f>
              <c:numCache>
                <c:formatCode>General</c:formatCode>
                <c:ptCount val="6"/>
                <c:pt idx="0">
                  <c:v>2025</c:v>
                </c:pt>
                <c:pt idx="1">
                  <c:v>2024</c:v>
                </c:pt>
                <c:pt idx="2">
                  <c:v>2023</c:v>
                </c:pt>
                <c:pt idx="3">
                  <c:v>2022</c:v>
                </c:pt>
                <c:pt idx="4">
                  <c:v>2021</c:v>
                </c:pt>
                <c:pt idx="5">
                  <c:v>2020</c:v>
                </c:pt>
              </c:numCache>
            </c:numRef>
          </c:cat>
          <c:val>
            <c:numRef>
              <c:f>D2_BalanceSheetCommonSize!$B$12:$G$12</c:f>
              <c:numCache>
                <c:formatCode>0.00%</c:formatCode>
                <c:ptCount val="6"/>
                <c:pt idx="0">
                  <c:v>0.42705422603402959</c:v>
                </c:pt>
                <c:pt idx="1">
                  <c:v>0.43645072160899873</c:v>
                </c:pt>
                <c:pt idx="2">
                  <c:v>0.44448062639493613</c:v>
                </c:pt>
                <c:pt idx="3">
                  <c:v>0.45519063325569398</c:v>
                </c:pt>
                <c:pt idx="4">
                  <c:v>0.42405119925302004</c:v>
                </c:pt>
                <c:pt idx="5">
                  <c:v>0.43681644534743191</c:v>
                </c:pt>
              </c:numCache>
            </c:numRef>
          </c:val>
          <c:smooth val="0"/>
          <c:extLst>
            <c:ext xmlns:c16="http://schemas.microsoft.com/office/drawing/2014/chart" uri="{C3380CC4-5D6E-409C-BE32-E72D297353CC}">
              <c16:uniqueId val="{00000000-6D49-4FBB-BED7-06CF44306409}"/>
            </c:ext>
          </c:extLst>
        </c:ser>
        <c:ser>
          <c:idx val="1"/>
          <c:order val="1"/>
          <c:tx>
            <c:strRef>
              <c:f>D2_BalanceSheetCommonSize!$A$14</c:f>
              <c:strCache>
                <c:ptCount val="1"/>
                <c:pt idx="0">
                  <c:v>Net Property</c:v>
                </c:pt>
              </c:strCache>
            </c:strRef>
          </c:tx>
          <c:spPr>
            <a:ln w="28575" cap="rnd">
              <a:solidFill>
                <a:schemeClr val="accent2"/>
              </a:solidFill>
              <a:round/>
            </a:ln>
            <a:effectLst/>
          </c:spPr>
          <c:marker>
            <c:symbol val="none"/>
          </c:marker>
          <c:cat>
            <c:numRef>
              <c:f>D2_BalanceSheetCommonSize!$B$3:$G$3</c:f>
              <c:numCache>
                <c:formatCode>General</c:formatCode>
                <c:ptCount val="6"/>
                <c:pt idx="0">
                  <c:v>2025</c:v>
                </c:pt>
                <c:pt idx="1">
                  <c:v>2024</c:v>
                </c:pt>
                <c:pt idx="2">
                  <c:v>2023</c:v>
                </c:pt>
                <c:pt idx="3">
                  <c:v>2022</c:v>
                </c:pt>
                <c:pt idx="4">
                  <c:v>2021</c:v>
                </c:pt>
                <c:pt idx="5">
                  <c:v>2020</c:v>
                </c:pt>
              </c:numCache>
            </c:numRef>
          </c:cat>
          <c:val>
            <c:numRef>
              <c:f>D2_BalanceSheetCommonSize!$B$14:$G$14</c:f>
              <c:numCache>
                <c:formatCode>0.00%</c:formatCode>
                <c:ptCount val="6"/>
                <c:pt idx="0">
                  <c:v>0.12895282888366302</c:v>
                </c:pt>
                <c:pt idx="1">
                  <c:v>0.14701468463793321</c:v>
                </c:pt>
                <c:pt idx="2">
                  <c:v>0.14935787201346457</c:v>
                </c:pt>
                <c:pt idx="3">
                  <c:v>0.14563239592940552</c:v>
                </c:pt>
                <c:pt idx="4">
                  <c:v>0.14449004999319159</c:v>
                </c:pt>
                <c:pt idx="5">
                  <c:v>0.13875200646558983</c:v>
                </c:pt>
              </c:numCache>
            </c:numRef>
          </c:val>
          <c:smooth val="0"/>
          <c:extLst>
            <c:ext xmlns:c16="http://schemas.microsoft.com/office/drawing/2014/chart" uri="{C3380CC4-5D6E-409C-BE32-E72D297353CC}">
              <c16:uniqueId val="{00000001-6D49-4FBB-BED7-06CF44306409}"/>
            </c:ext>
          </c:extLst>
        </c:ser>
        <c:ser>
          <c:idx val="2"/>
          <c:order val="2"/>
          <c:tx>
            <c:strRef>
              <c:f>D2_BalanceSheetCommonSize!$A$27</c:f>
              <c:strCache>
                <c:ptCount val="1"/>
                <c:pt idx="0">
                  <c:v>Total Current Liabilities</c:v>
                </c:pt>
              </c:strCache>
            </c:strRef>
          </c:tx>
          <c:spPr>
            <a:ln w="28575" cap="rnd">
              <a:solidFill>
                <a:schemeClr val="accent3"/>
              </a:solidFill>
              <a:round/>
            </a:ln>
            <a:effectLst/>
          </c:spPr>
          <c:marker>
            <c:symbol val="none"/>
          </c:marker>
          <c:cat>
            <c:numRef>
              <c:f>D2_BalanceSheetCommonSize!$B$3:$G$3</c:f>
              <c:numCache>
                <c:formatCode>General</c:formatCode>
                <c:ptCount val="6"/>
                <c:pt idx="0">
                  <c:v>2025</c:v>
                </c:pt>
                <c:pt idx="1">
                  <c:v>2024</c:v>
                </c:pt>
                <c:pt idx="2">
                  <c:v>2023</c:v>
                </c:pt>
                <c:pt idx="3">
                  <c:v>2022</c:v>
                </c:pt>
                <c:pt idx="4">
                  <c:v>2021</c:v>
                </c:pt>
                <c:pt idx="5">
                  <c:v>2020</c:v>
                </c:pt>
              </c:numCache>
            </c:numRef>
          </c:cat>
          <c:val>
            <c:numRef>
              <c:f>D2_BalanceSheetCommonSize!$B$27:$G$27</c:f>
              <c:numCache>
                <c:formatCode>0.00%</c:formatCode>
                <c:ptCount val="6"/>
                <c:pt idx="0">
                  <c:v>0.39732328122838567</c:v>
                </c:pt>
                <c:pt idx="1">
                  <c:v>0.37468618073184756</c:v>
                </c:pt>
                <c:pt idx="2">
                  <c:v>0.37148659031868575</c:v>
                </c:pt>
                <c:pt idx="3">
                  <c:v>0.3785543449375498</c:v>
                </c:pt>
                <c:pt idx="4">
                  <c:v>0.3529752757406579</c:v>
                </c:pt>
                <c:pt idx="5">
                  <c:v>0.36365949390296376</c:v>
                </c:pt>
              </c:numCache>
            </c:numRef>
          </c:val>
          <c:smooth val="0"/>
          <c:extLst>
            <c:ext xmlns:c16="http://schemas.microsoft.com/office/drawing/2014/chart" uri="{C3380CC4-5D6E-409C-BE32-E72D297353CC}">
              <c16:uniqueId val="{00000002-6D49-4FBB-BED7-06CF44306409}"/>
            </c:ext>
          </c:extLst>
        </c:ser>
        <c:ser>
          <c:idx val="3"/>
          <c:order val="3"/>
          <c:tx>
            <c:strRef>
              <c:f>D2_BalanceSheetCommonSize!$A$43</c:f>
              <c:strCache>
                <c:ptCount val="1"/>
                <c:pt idx="0">
                  <c:v>Total Shareholders Equity</c:v>
                </c:pt>
              </c:strCache>
            </c:strRef>
          </c:tx>
          <c:spPr>
            <a:ln w="28575" cap="rnd">
              <a:solidFill>
                <a:schemeClr val="accent4"/>
              </a:solidFill>
              <a:round/>
            </a:ln>
            <a:effectLst/>
          </c:spPr>
          <c:marker>
            <c:symbol val="none"/>
          </c:marker>
          <c:cat>
            <c:numRef>
              <c:f>D2_BalanceSheetCommonSize!$B$3:$G$3</c:f>
              <c:numCache>
                <c:formatCode>General</c:formatCode>
                <c:ptCount val="6"/>
                <c:pt idx="0">
                  <c:v>2025</c:v>
                </c:pt>
                <c:pt idx="1">
                  <c:v>2024</c:v>
                </c:pt>
                <c:pt idx="2">
                  <c:v>2023</c:v>
                </c:pt>
                <c:pt idx="3">
                  <c:v>2022</c:v>
                </c:pt>
                <c:pt idx="4">
                  <c:v>2021</c:v>
                </c:pt>
                <c:pt idx="5">
                  <c:v>2020</c:v>
                </c:pt>
              </c:numCache>
            </c:numRef>
          </c:cat>
          <c:val>
            <c:numRef>
              <c:f>D2_BalanceSheetCommonSize!$B$43:$G$43</c:f>
              <c:numCache>
                <c:formatCode>0.00%</c:formatCode>
                <c:ptCount val="6"/>
                <c:pt idx="0">
                  <c:v>0.12433254945358971</c:v>
                </c:pt>
                <c:pt idx="1">
                  <c:v>0.15720767472194561</c:v>
                </c:pt>
                <c:pt idx="2">
                  <c:v>0.15649994511726611</c:v>
                </c:pt>
                <c:pt idx="3">
                  <c:v>0.16899063638211065</c:v>
                </c:pt>
                <c:pt idx="4">
                  <c:v>0.18876417608496898</c:v>
                </c:pt>
                <c:pt idx="5">
                  <c:v>0.1148315691402786</c:v>
                </c:pt>
              </c:numCache>
            </c:numRef>
          </c:val>
          <c:smooth val="0"/>
          <c:extLst>
            <c:ext xmlns:c16="http://schemas.microsoft.com/office/drawing/2014/chart" uri="{C3380CC4-5D6E-409C-BE32-E72D297353CC}">
              <c16:uniqueId val="{00000003-6D49-4FBB-BED7-06CF44306409}"/>
            </c:ext>
          </c:extLst>
        </c:ser>
        <c:ser>
          <c:idx val="4"/>
          <c:order val="4"/>
          <c:tx>
            <c:strRef>
              <c:f>D2_BalanceSheetCommonSize!$A$46</c:f>
              <c:strCache>
                <c:ptCount val="1"/>
                <c:pt idx="0">
                  <c:v>Long Term Liabilities</c:v>
                </c:pt>
              </c:strCache>
            </c:strRef>
          </c:tx>
          <c:spPr>
            <a:ln w="28575" cap="rnd">
              <a:solidFill>
                <a:schemeClr val="accent5"/>
              </a:solidFill>
              <a:round/>
            </a:ln>
            <a:effectLst/>
          </c:spPr>
          <c:marker>
            <c:symbol val="none"/>
          </c:marker>
          <c:cat>
            <c:numRef>
              <c:f>D2_BalanceSheetCommonSize!$B$3:$G$3</c:f>
              <c:numCache>
                <c:formatCode>General</c:formatCode>
                <c:ptCount val="6"/>
                <c:pt idx="0">
                  <c:v>2025</c:v>
                </c:pt>
                <c:pt idx="1">
                  <c:v>2024</c:v>
                </c:pt>
                <c:pt idx="2">
                  <c:v>2023</c:v>
                </c:pt>
                <c:pt idx="3">
                  <c:v>2022</c:v>
                </c:pt>
                <c:pt idx="4">
                  <c:v>2021</c:v>
                </c:pt>
                <c:pt idx="5">
                  <c:v>2020</c:v>
                </c:pt>
              </c:numCache>
            </c:numRef>
          </c:cat>
          <c:val>
            <c:numRef>
              <c:f>D2_BalanceSheetCommonSize!$B$46:$G$46</c:f>
              <c:numCache>
                <c:formatCode>0.00%</c:formatCode>
                <c:ptCount val="6"/>
                <c:pt idx="0">
                  <c:v>0.47834416931802459</c:v>
                </c:pt>
                <c:pt idx="1">
                  <c:v>0.4681061445462068</c:v>
                </c:pt>
                <c:pt idx="2">
                  <c:v>0.47201346456404819</c:v>
                </c:pt>
                <c:pt idx="3">
                  <c:v>0.45245501868033955</c:v>
                </c:pt>
                <c:pt idx="4">
                  <c:v>0.45826054817437312</c:v>
                </c:pt>
                <c:pt idx="5">
                  <c:v>0.5215089369567576</c:v>
                </c:pt>
              </c:numCache>
            </c:numRef>
          </c:val>
          <c:smooth val="0"/>
          <c:extLst>
            <c:ext xmlns:c16="http://schemas.microsoft.com/office/drawing/2014/chart" uri="{C3380CC4-5D6E-409C-BE32-E72D297353CC}">
              <c16:uniqueId val="{00000004-6D49-4FBB-BED7-06CF44306409}"/>
            </c:ext>
          </c:extLst>
        </c:ser>
        <c:dLbls>
          <c:showLegendKey val="0"/>
          <c:showVal val="0"/>
          <c:showCatName val="0"/>
          <c:showSerName val="0"/>
          <c:showPercent val="0"/>
          <c:showBubbleSize val="0"/>
        </c:dLbls>
        <c:smooth val="0"/>
        <c:axId val="476956679"/>
        <c:axId val="476962823"/>
      </c:lineChart>
      <c:catAx>
        <c:axId val="476956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62823"/>
        <c:crosses val="autoZero"/>
        <c:auto val="1"/>
        <c:lblAlgn val="ctr"/>
        <c:lblOffset val="100"/>
        <c:noMultiLvlLbl val="0"/>
      </c:catAx>
      <c:valAx>
        <c:axId val="476962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56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Cash and Cash Equivalents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v>Cash and Cash Equivalents</c:v>
          </c:tx>
          <c:spPr>
            <a:solidFill>
              <a:srgbClr val="808080"/>
            </a:solidFill>
            <a:ln>
              <a:solidFill>
                <a:srgbClr val="000000"/>
              </a:solidFill>
              <a:prstDash val="solid"/>
            </a:ln>
            <a:effectLst/>
          </c:spPr>
          <c:invertIfNegative val="0"/>
          <c:cat>
            <c:numRef>
              <c:f>D3_BalSheetHorizontalAnalysis!$N$1:$S$1</c:f>
              <c:numCache>
                <c:formatCode>General</c:formatCode>
                <c:ptCount val="6"/>
                <c:pt idx="0">
                  <c:v>2020</c:v>
                </c:pt>
                <c:pt idx="1">
                  <c:v>2021</c:v>
                </c:pt>
                <c:pt idx="2">
                  <c:v>2022</c:v>
                </c:pt>
                <c:pt idx="3">
                  <c:v>2023</c:v>
                </c:pt>
                <c:pt idx="4">
                  <c:v>2024</c:v>
                </c:pt>
                <c:pt idx="5">
                  <c:v>2025</c:v>
                </c:pt>
              </c:numCache>
            </c:numRef>
          </c:cat>
          <c:val>
            <c:numRef>
              <c:f>D3_BalSheetHorizontalAnalysis!$N$2:$S$2</c:f>
              <c:numCache>
                <c:formatCode>General</c:formatCode>
                <c:ptCount val="6"/>
                <c:pt idx="0">
                  <c:v>25243</c:v>
                </c:pt>
                <c:pt idx="1">
                  <c:v>20540</c:v>
                </c:pt>
                <c:pt idx="2">
                  <c:v>25134</c:v>
                </c:pt>
                <c:pt idx="3">
                  <c:v>24862</c:v>
                </c:pt>
                <c:pt idx="4">
                  <c:v>22935</c:v>
                </c:pt>
                <c:pt idx="5">
                  <c:v>23356</c:v>
                </c:pt>
              </c:numCache>
            </c:numRef>
          </c:val>
          <c:extLst>
            <c:ext xmlns:c16="http://schemas.microsoft.com/office/drawing/2014/chart" uri="{C3380CC4-5D6E-409C-BE32-E72D297353CC}">
              <c16:uniqueId val="{00000000-9A9C-4F53-AE79-B47C3846B601}"/>
            </c:ext>
          </c:extLst>
        </c:ser>
        <c:dLbls>
          <c:showLegendKey val="0"/>
          <c:showVal val="0"/>
          <c:showCatName val="0"/>
          <c:showSerName val="0"/>
          <c:showPercent val="0"/>
          <c:showBubbleSize val="0"/>
        </c:dLbls>
        <c:gapWidth val="219"/>
        <c:overlap val="-27"/>
        <c:axId val="881056776"/>
        <c:axId val="881189896"/>
      </c:barChart>
      <c:lineChart>
        <c:grouping val="standard"/>
        <c:varyColors val="0"/>
        <c:ser>
          <c:idx val="2"/>
          <c:order val="1"/>
          <c:tx>
            <c:v>% Change</c:v>
          </c:tx>
          <c:spPr>
            <a:ln w="28575" cap="rnd">
              <a:solidFill>
                <a:srgbClr val="1F497D"/>
              </a:solidFill>
              <a:prstDash val="solid"/>
              <a:round/>
            </a:ln>
            <a:effectLst/>
          </c:spPr>
          <c:marker>
            <c:symbol val="none"/>
          </c:marker>
          <c:cat>
            <c:numRef>
              <c:f>D3_BalSheetHorizontalAnalysis!$N$1:$S$1</c:f>
              <c:numCache>
                <c:formatCode>General</c:formatCode>
                <c:ptCount val="6"/>
                <c:pt idx="0">
                  <c:v>2020</c:v>
                </c:pt>
                <c:pt idx="1">
                  <c:v>2021</c:v>
                </c:pt>
                <c:pt idx="2">
                  <c:v>2022</c:v>
                </c:pt>
                <c:pt idx="3">
                  <c:v>2023</c:v>
                </c:pt>
                <c:pt idx="4">
                  <c:v>2024</c:v>
                </c:pt>
                <c:pt idx="5">
                  <c:v>2025</c:v>
                </c:pt>
              </c:numCache>
            </c:numRef>
          </c:cat>
          <c:val>
            <c:numRef>
              <c:f>D3_BalSheetHorizontalAnalysis!$N$3:$S$3</c:f>
              <c:numCache>
                <c:formatCode>0.00%</c:formatCode>
                <c:ptCount val="6"/>
                <c:pt idx="0" formatCode="General">
                  <c:v>0</c:v>
                </c:pt>
                <c:pt idx="1">
                  <c:v>-0.18630907578338549</c:v>
                </c:pt>
                <c:pt idx="2">
                  <c:v>0.22366114897760467</c:v>
                </c:pt>
                <c:pt idx="3">
                  <c:v>-1.0821994111562027E-2</c:v>
                </c:pt>
                <c:pt idx="4">
                  <c:v>-7.7507843294988332E-2</c:v>
                </c:pt>
                <c:pt idx="5">
                  <c:v>1.8356224111619794E-2</c:v>
                </c:pt>
              </c:numCache>
            </c:numRef>
          </c:val>
          <c:smooth val="0"/>
          <c:extLst>
            <c:ext xmlns:c16="http://schemas.microsoft.com/office/drawing/2014/chart" uri="{C3380CC4-5D6E-409C-BE32-E72D297353CC}">
              <c16:uniqueId val="{00000001-9A9C-4F53-AE79-B47C3846B601}"/>
            </c:ext>
          </c:extLst>
        </c:ser>
        <c:dLbls>
          <c:showLegendKey val="0"/>
          <c:showVal val="0"/>
          <c:showCatName val="0"/>
          <c:showSerName val="0"/>
          <c:showPercent val="0"/>
          <c:showBubbleSize val="0"/>
        </c:dLbls>
        <c:marker val="1"/>
        <c:smooth val="0"/>
        <c:axId val="1341574664"/>
        <c:axId val="1341571592"/>
      </c:lineChart>
      <c:catAx>
        <c:axId val="881056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81189896"/>
        <c:crosses val="autoZero"/>
        <c:auto val="1"/>
        <c:lblAlgn val="ctr"/>
        <c:lblOffset val="100"/>
        <c:noMultiLvlLbl val="0"/>
      </c:catAx>
      <c:valAx>
        <c:axId val="881189896"/>
        <c:scaling>
          <c:orientation val="minMax"/>
          <c:max val="30000"/>
          <c:min val="0"/>
        </c:scaling>
        <c:delete val="0"/>
        <c:axPos val="l"/>
        <c:majorGridlines>
          <c:spPr>
            <a:ln w="9525" cap="flat" cmpd="sng" algn="ctr">
              <a:solidFill>
                <a:schemeClr val="tx1">
                  <a:lumMod val="15000"/>
                  <a:lumOff val="85000"/>
                </a:schemeClr>
              </a:solidFill>
              <a:round/>
            </a:ln>
            <a:effectLst/>
          </c:spPr>
        </c:majorGridlines>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81056776"/>
        <c:crosses val="autoZero"/>
        <c:crossBetween val="between"/>
      </c:valAx>
      <c:valAx>
        <c:axId val="1341571592"/>
        <c:scaling>
          <c:orientation val="minMax"/>
          <c:min val="-0.2"/>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341574664"/>
        <c:crosses val="max"/>
        <c:crossBetween val="between"/>
      </c:valAx>
      <c:catAx>
        <c:axId val="1341574664"/>
        <c:scaling>
          <c:orientation val="minMax"/>
        </c:scaling>
        <c:delete val="1"/>
        <c:axPos val="b"/>
        <c:numFmt formatCode="General" sourceLinked="1"/>
        <c:majorTickMark val="out"/>
        <c:minorTickMark val="none"/>
        <c:tickLblPos val="nextTo"/>
        <c:crossAx val="13415715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Total Equity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v>Total Equity</c:v>
          </c:tx>
          <c:spPr>
            <a:solidFill>
              <a:srgbClr val="808080"/>
            </a:solidFill>
            <a:ln>
              <a:solidFill>
                <a:srgbClr val="000000"/>
              </a:solidFill>
              <a:prstDash val="solid"/>
            </a:ln>
            <a:effectLst/>
          </c:spPr>
          <c:invertIfNegative val="0"/>
          <c:cat>
            <c:numRef>
              <c:f>D3_BalSheetHorizontalAnalysis!$N$5:$S$5</c:f>
              <c:numCache>
                <c:formatCode>General</c:formatCode>
                <c:ptCount val="6"/>
                <c:pt idx="0">
                  <c:v>2020</c:v>
                </c:pt>
                <c:pt idx="1">
                  <c:v>2021</c:v>
                </c:pt>
                <c:pt idx="2">
                  <c:v>2022</c:v>
                </c:pt>
                <c:pt idx="3">
                  <c:v>2023</c:v>
                </c:pt>
                <c:pt idx="4">
                  <c:v>2024</c:v>
                </c:pt>
                <c:pt idx="5">
                  <c:v>2025</c:v>
                </c:pt>
              </c:numCache>
            </c:numRef>
          </c:cat>
          <c:val>
            <c:numRef>
              <c:f>D3_BalSheetHorizontalAnalysis!$N$6:$S$6</c:f>
              <c:numCache>
                <c:formatCode>General</c:formatCode>
                <c:ptCount val="6"/>
                <c:pt idx="0">
                  <c:v>30690</c:v>
                </c:pt>
                <c:pt idx="1">
                  <c:v>48519</c:v>
                </c:pt>
                <c:pt idx="2">
                  <c:v>43242</c:v>
                </c:pt>
                <c:pt idx="3">
                  <c:v>42773</c:v>
                </c:pt>
                <c:pt idx="4">
                  <c:v>44835</c:v>
                </c:pt>
                <c:pt idx="5">
                  <c:v>35952</c:v>
                </c:pt>
              </c:numCache>
            </c:numRef>
          </c:val>
          <c:extLst>
            <c:ext xmlns:c16="http://schemas.microsoft.com/office/drawing/2014/chart" uri="{C3380CC4-5D6E-409C-BE32-E72D297353CC}">
              <c16:uniqueId val="{00000000-6CD3-476C-96BD-D5A74A592754}"/>
            </c:ext>
          </c:extLst>
        </c:ser>
        <c:dLbls>
          <c:showLegendKey val="0"/>
          <c:showVal val="0"/>
          <c:showCatName val="0"/>
          <c:showSerName val="0"/>
          <c:showPercent val="0"/>
          <c:showBubbleSize val="0"/>
        </c:dLbls>
        <c:gapWidth val="219"/>
        <c:overlap val="-27"/>
        <c:axId val="112132104"/>
        <c:axId val="292446216"/>
      </c:barChart>
      <c:lineChart>
        <c:grouping val="standard"/>
        <c:varyColors val="0"/>
        <c:ser>
          <c:idx val="2"/>
          <c:order val="1"/>
          <c:tx>
            <c:v>% Change</c:v>
          </c:tx>
          <c:spPr>
            <a:ln w="28575" cap="rnd">
              <a:solidFill>
                <a:srgbClr val="1F497D"/>
              </a:solidFill>
              <a:prstDash val="solid"/>
              <a:round/>
            </a:ln>
            <a:effectLst/>
          </c:spPr>
          <c:marker>
            <c:symbol val="none"/>
          </c:marker>
          <c:cat>
            <c:numRef>
              <c:f>D3_BalSheetHorizontalAnalysis!$N$5:$S$5</c:f>
              <c:numCache>
                <c:formatCode>General</c:formatCode>
                <c:ptCount val="6"/>
                <c:pt idx="0">
                  <c:v>2020</c:v>
                </c:pt>
                <c:pt idx="1">
                  <c:v>2021</c:v>
                </c:pt>
                <c:pt idx="2">
                  <c:v>2022</c:v>
                </c:pt>
                <c:pt idx="3">
                  <c:v>2023</c:v>
                </c:pt>
                <c:pt idx="4">
                  <c:v>2024</c:v>
                </c:pt>
                <c:pt idx="5">
                  <c:v>2025</c:v>
                </c:pt>
              </c:numCache>
            </c:numRef>
          </c:cat>
          <c:val>
            <c:numRef>
              <c:f>D3_BalSheetHorizontalAnalysis!$N$7:$S$7</c:f>
              <c:numCache>
                <c:formatCode>0.00%</c:formatCode>
                <c:ptCount val="6"/>
                <c:pt idx="0" formatCode="General">
                  <c:v>0</c:v>
                </c:pt>
                <c:pt idx="1">
                  <c:v>0.58093841642228738</c:v>
                </c:pt>
                <c:pt idx="2">
                  <c:v>-0.10876151610709207</c:v>
                </c:pt>
                <c:pt idx="3">
                  <c:v>-1.0845936820683594E-2</c:v>
                </c:pt>
                <c:pt idx="4">
                  <c:v>4.8207981670680099E-2</c:v>
                </c:pt>
                <c:pt idx="5">
                  <c:v>-0.19812646370023418</c:v>
                </c:pt>
              </c:numCache>
            </c:numRef>
          </c:val>
          <c:smooth val="0"/>
          <c:extLst>
            <c:ext xmlns:c16="http://schemas.microsoft.com/office/drawing/2014/chart" uri="{C3380CC4-5D6E-409C-BE32-E72D297353CC}">
              <c16:uniqueId val="{00000001-6CD3-476C-96BD-D5A74A592754}"/>
            </c:ext>
          </c:extLst>
        </c:ser>
        <c:dLbls>
          <c:showLegendKey val="0"/>
          <c:showVal val="0"/>
          <c:showCatName val="0"/>
          <c:showSerName val="0"/>
          <c:showPercent val="0"/>
          <c:showBubbleSize val="0"/>
        </c:dLbls>
        <c:marker val="1"/>
        <c:smooth val="0"/>
        <c:axId val="1239193096"/>
        <c:axId val="1239157256"/>
      </c:lineChart>
      <c:catAx>
        <c:axId val="11213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92446216"/>
        <c:crosses val="autoZero"/>
        <c:auto val="1"/>
        <c:lblAlgn val="ctr"/>
        <c:lblOffset val="100"/>
        <c:noMultiLvlLbl val="0"/>
      </c:catAx>
      <c:valAx>
        <c:axId val="292446216"/>
        <c:scaling>
          <c:orientation val="minMax"/>
          <c:max val="5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12132104"/>
        <c:crosses val="autoZero"/>
        <c:crossBetween val="between"/>
      </c:valAx>
      <c:valAx>
        <c:axId val="1239157256"/>
        <c:scaling>
          <c:orientation val="minMax"/>
          <c:max val="0.6"/>
          <c:min val="-0.3"/>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239193096"/>
        <c:crosses val="max"/>
        <c:crossBetween val="between"/>
        <c:minorUnit val="0.05"/>
      </c:valAx>
      <c:catAx>
        <c:axId val="1239193096"/>
        <c:scaling>
          <c:orientation val="minMax"/>
        </c:scaling>
        <c:delete val="1"/>
        <c:axPos val="b"/>
        <c:numFmt formatCode="General" sourceLinked="1"/>
        <c:majorTickMark val="out"/>
        <c:minorTickMark val="none"/>
        <c:tickLblPos val="nextTo"/>
        <c:crossAx val="1239157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Long-Term Debt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v>Long-Term Debt</c:v>
          </c:tx>
          <c:spPr>
            <a:solidFill>
              <a:srgbClr val="808080"/>
            </a:solidFill>
            <a:ln>
              <a:solidFill>
                <a:srgbClr val="000000"/>
              </a:solidFill>
              <a:prstDash val="solid"/>
            </a:ln>
            <a:effectLst/>
          </c:spPr>
          <c:invertIfNegative val="0"/>
          <c:cat>
            <c:numRef>
              <c:f>D3_BalSheetHorizontalAnalysis!$N$9:$S$9</c:f>
              <c:numCache>
                <c:formatCode>General</c:formatCode>
                <c:ptCount val="6"/>
                <c:pt idx="0">
                  <c:v>2020</c:v>
                </c:pt>
                <c:pt idx="1">
                  <c:v>2021</c:v>
                </c:pt>
                <c:pt idx="2">
                  <c:v>2022</c:v>
                </c:pt>
                <c:pt idx="3">
                  <c:v>2023</c:v>
                </c:pt>
                <c:pt idx="4">
                  <c:v>2024</c:v>
                </c:pt>
                <c:pt idx="5">
                  <c:v>2025</c:v>
                </c:pt>
              </c:numCache>
            </c:numRef>
          </c:cat>
          <c:val>
            <c:numRef>
              <c:f>D3_BalSheetHorizontalAnalysis!$N$10:$S$10</c:f>
              <c:numCache>
                <c:formatCode>General</c:formatCode>
                <c:ptCount val="6"/>
                <c:pt idx="0">
                  <c:v>87708</c:v>
                </c:pt>
                <c:pt idx="1">
                  <c:v>71200</c:v>
                </c:pt>
                <c:pt idx="2">
                  <c:v>69605</c:v>
                </c:pt>
                <c:pt idx="3">
                  <c:v>80095</c:v>
                </c:pt>
                <c:pt idx="4">
                  <c:v>84675</c:v>
                </c:pt>
                <c:pt idx="5">
                  <c:v>89665</c:v>
                </c:pt>
              </c:numCache>
            </c:numRef>
          </c:val>
          <c:extLst>
            <c:ext xmlns:c16="http://schemas.microsoft.com/office/drawing/2014/chart" uri="{C3380CC4-5D6E-409C-BE32-E72D297353CC}">
              <c16:uniqueId val="{00000000-22D6-4CD3-A7D7-FE88847D6230}"/>
            </c:ext>
          </c:extLst>
        </c:ser>
        <c:dLbls>
          <c:showLegendKey val="0"/>
          <c:showVal val="0"/>
          <c:showCatName val="0"/>
          <c:showSerName val="0"/>
          <c:showPercent val="0"/>
          <c:showBubbleSize val="0"/>
        </c:dLbls>
        <c:gapWidth val="219"/>
        <c:overlap val="-27"/>
        <c:axId val="2026756103"/>
        <c:axId val="2026764295"/>
      </c:barChart>
      <c:lineChart>
        <c:grouping val="standard"/>
        <c:varyColors val="0"/>
        <c:ser>
          <c:idx val="2"/>
          <c:order val="1"/>
          <c:tx>
            <c:v>% Change</c:v>
          </c:tx>
          <c:spPr>
            <a:ln w="28575" cap="rnd">
              <a:solidFill>
                <a:srgbClr val="1F497D"/>
              </a:solidFill>
              <a:prstDash val="solid"/>
              <a:round/>
            </a:ln>
            <a:effectLst/>
          </c:spPr>
          <c:marker>
            <c:symbol val="none"/>
          </c:marker>
          <c:cat>
            <c:numRef>
              <c:f>D3_BalSheetHorizontalAnalysis!$N$9:$S$9</c:f>
              <c:numCache>
                <c:formatCode>General</c:formatCode>
                <c:ptCount val="6"/>
                <c:pt idx="0">
                  <c:v>2020</c:v>
                </c:pt>
                <c:pt idx="1">
                  <c:v>2021</c:v>
                </c:pt>
                <c:pt idx="2">
                  <c:v>2022</c:v>
                </c:pt>
                <c:pt idx="3">
                  <c:v>2023</c:v>
                </c:pt>
                <c:pt idx="4">
                  <c:v>2024</c:v>
                </c:pt>
                <c:pt idx="5">
                  <c:v>2025</c:v>
                </c:pt>
              </c:numCache>
            </c:numRef>
          </c:cat>
          <c:val>
            <c:numRef>
              <c:f>D3_BalSheetHorizontalAnalysis!$N$11:$S$11</c:f>
              <c:numCache>
                <c:formatCode>0.00%</c:formatCode>
                <c:ptCount val="6"/>
                <c:pt idx="0" formatCode="General">
                  <c:v>0</c:v>
                </c:pt>
                <c:pt idx="1">
                  <c:v>-0.18821544214894878</c:v>
                </c:pt>
                <c:pt idx="2">
                  <c:v>-2.2401685393258427E-2</c:v>
                </c:pt>
                <c:pt idx="3">
                  <c:v>0.15070756411177358</c:v>
                </c:pt>
                <c:pt idx="4">
                  <c:v>5.7182096260690429E-2</c:v>
                </c:pt>
                <c:pt idx="5">
                  <c:v>5.8931207558311188E-2</c:v>
                </c:pt>
              </c:numCache>
            </c:numRef>
          </c:val>
          <c:smooth val="0"/>
          <c:extLst>
            <c:ext xmlns:c16="http://schemas.microsoft.com/office/drawing/2014/chart" uri="{C3380CC4-5D6E-409C-BE32-E72D297353CC}">
              <c16:uniqueId val="{00000001-22D6-4CD3-A7D7-FE88847D6230}"/>
            </c:ext>
          </c:extLst>
        </c:ser>
        <c:dLbls>
          <c:showLegendKey val="0"/>
          <c:showVal val="0"/>
          <c:showCatName val="0"/>
          <c:showSerName val="0"/>
          <c:showPercent val="0"/>
          <c:showBubbleSize val="0"/>
        </c:dLbls>
        <c:marker val="1"/>
        <c:smooth val="0"/>
        <c:axId val="1128967688"/>
        <c:axId val="1128924168"/>
      </c:lineChart>
      <c:catAx>
        <c:axId val="2026756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026764295"/>
        <c:crosses val="autoZero"/>
        <c:auto val="1"/>
        <c:lblAlgn val="ctr"/>
        <c:lblOffset val="100"/>
        <c:noMultiLvlLbl val="0"/>
      </c:catAx>
      <c:valAx>
        <c:axId val="2026764295"/>
        <c:scaling>
          <c:orientation val="minMax"/>
          <c:max val="9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026756103"/>
        <c:crosses val="autoZero"/>
        <c:crossBetween val="between"/>
      </c:valAx>
      <c:valAx>
        <c:axId val="1128924168"/>
        <c:scaling>
          <c:orientation val="minMax"/>
          <c:min val="-0.2"/>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128967688"/>
        <c:crosses val="max"/>
        <c:crossBetween val="between"/>
      </c:valAx>
      <c:catAx>
        <c:axId val="1128967688"/>
        <c:scaling>
          <c:orientation val="minMax"/>
        </c:scaling>
        <c:delete val="1"/>
        <c:axPos val="b"/>
        <c:numFmt formatCode="General" sourceLinked="1"/>
        <c:majorTickMark val="out"/>
        <c:minorTickMark val="none"/>
        <c:tickLblPos val="nextTo"/>
        <c:crossAx val="11289241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Trade and Other Receivables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v>Trade and Other Receivables</c:v>
          </c:tx>
          <c:spPr>
            <a:solidFill>
              <a:srgbClr val="808080"/>
            </a:solidFill>
            <a:ln>
              <a:solidFill>
                <a:srgbClr val="000000"/>
              </a:solidFill>
              <a:prstDash val="solid"/>
            </a:ln>
            <a:effectLst/>
          </c:spPr>
          <c:invertIfNegative val="0"/>
          <c:cat>
            <c:numRef>
              <c:f>D3_BalSheetHorizontalAnalysis!$N$13:$S$13</c:f>
              <c:numCache>
                <c:formatCode>General</c:formatCode>
                <c:ptCount val="6"/>
                <c:pt idx="0">
                  <c:v>2020</c:v>
                </c:pt>
                <c:pt idx="1">
                  <c:v>2021</c:v>
                </c:pt>
                <c:pt idx="2">
                  <c:v>2022</c:v>
                </c:pt>
                <c:pt idx="3">
                  <c:v>2023</c:v>
                </c:pt>
                <c:pt idx="4">
                  <c:v>2024</c:v>
                </c:pt>
                <c:pt idx="5">
                  <c:v>2025</c:v>
                </c:pt>
              </c:numCache>
            </c:numRef>
          </c:cat>
          <c:val>
            <c:numRef>
              <c:f>D3_BalSheetHorizontalAnalysis!$N$14:$S$14</c:f>
              <c:numCache>
                <c:formatCode>General</c:formatCode>
                <c:ptCount val="6"/>
                <c:pt idx="0">
                  <c:v>9993</c:v>
                </c:pt>
                <c:pt idx="1">
                  <c:v>11370</c:v>
                </c:pt>
                <c:pt idx="2">
                  <c:v>15729</c:v>
                </c:pt>
                <c:pt idx="3">
                  <c:v>15601</c:v>
                </c:pt>
                <c:pt idx="4">
                  <c:v>14723</c:v>
                </c:pt>
                <c:pt idx="5">
                  <c:v>15398</c:v>
                </c:pt>
              </c:numCache>
            </c:numRef>
          </c:val>
          <c:extLst>
            <c:ext xmlns:c16="http://schemas.microsoft.com/office/drawing/2014/chart" uri="{C3380CC4-5D6E-409C-BE32-E72D297353CC}">
              <c16:uniqueId val="{00000000-E09F-462C-9B3D-F92F60E1B20A}"/>
            </c:ext>
          </c:extLst>
        </c:ser>
        <c:dLbls>
          <c:showLegendKey val="0"/>
          <c:showVal val="0"/>
          <c:showCatName val="0"/>
          <c:showSerName val="0"/>
          <c:showPercent val="0"/>
          <c:showBubbleSize val="0"/>
        </c:dLbls>
        <c:gapWidth val="219"/>
        <c:overlap val="-27"/>
        <c:axId val="377601032"/>
        <c:axId val="385607176"/>
      </c:barChart>
      <c:lineChart>
        <c:grouping val="standard"/>
        <c:varyColors val="0"/>
        <c:ser>
          <c:idx val="2"/>
          <c:order val="1"/>
          <c:tx>
            <c:v>% Change</c:v>
          </c:tx>
          <c:spPr>
            <a:ln w="28575" cap="rnd">
              <a:solidFill>
                <a:srgbClr val="1F497D"/>
              </a:solidFill>
              <a:prstDash val="solid"/>
              <a:round/>
            </a:ln>
            <a:effectLst/>
          </c:spPr>
          <c:marker>
            <c:symbol val="none"/>
          </c:marker>
          <c:cat>
            <c:numRef>
              <c:f>D3_BalSheetHorizontalAnalysis!$N$13:$S$13</c:f>
              <c:numCache>
                <c:formatCode>General</c:formatCode>
                <c:ptCount val="6"/>
                <c:pt idx="0">
                  <c:v>2020</c:v>
                </c:pt>
                <c:pt idx="1">
                  <c:v>2021</c:v>
                </c:pt>
                <c:pt idx="2">
                  <c:v>2022</c:v>
                </c:pt>
                <c:pt idx="3">
                  <c:v>2023</c:v>
                </c:pt>
                <c:pt idx="4">
                  <c:v>2024</c:v>
                </c:pt>
                <c:pt idx="5">
                  <c:v>2025</c:v>
                </c:pt>
              </c:numCache>
            </c:numRef>
          </c:cat>
          <c:val>
            <c:numRef>
              <c:f>D3_BalSheetHorizontalAnalysis!$N$15:$S$15</c:f>
              <c:numCache>
                <c:formatCode>0.00%</c:formatCode>
                <c:ptCount val="6"/>
                <c:pt idx="0" formatCode="General">
                  <c:v>0</c:v>
                </c:pt>
                <c:pt idx="1">
                  <c:v>0.13779645752026418</c:v>
                </c:pt>
                <c:pt idx="2">
                  <c:v>0.383377308707124</c:v>
                </c:pt>
                <c:pt idx="3">
                  <c:v>-8.1378345730815684E-3</c:v>
                </c:pt>
                <c:pt idx="4">
                  <c:v>-5.6278443689507081E-2</c:v>
                </c:pt>
                <c:pt idx="5">
                  <c:v>4.5846634517421721E-2</c:v>
                </c:pt>
              </c:numCache>
            </c:numRef>
          </c:val>
          <c:smooth val="0"/>
          <c:extLst>
            <c:ext xmlns:c16="http://schemas.microsoft.com/office/drawing/2014/chart" uri="{C3380CC4-5D6E-409C-BE32-E72D297353CC}">
              <c16:uniqueId val="{00000001-E09F-462C-9B3D-F92F60E1B20A}"/>
            </c:ext>
          </c:extLst>
        </c:ser>
        <c:dLbls>
          <c:showLegendKey val="0"/>
          <c:showVal val="0"/>
          <c:showCatName val="0"/>
          <c:showSerName val="0"/>
          <c:showPercent val="0"/>
          <c:showBubbleSize val="0"/>
        </c:dLbls>
        <c:marker val="1"/>
        <c:smooth val="0"/>
        <c:axId val="555392008"/>
        <c:axId val="555388936"/>
      </c:lineChart>
      <c:catAx>
        <c:axId val="37760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385607176"/>
        <c:crosses val="autoZero"/>
        <c:auto val="1"/>
        <c:lblAlgn val="ctr"/>
        <c:lblOffset val="100"/>
        <c:noMultiLvlLbl val="0"/>
      </c:catAx>
      <c:valAx>
        <c:axId val="385607176"/>
        <c:scaling>
          <c:orientation val="minMax"/>
          <c:max val="18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377601032"/>
        <c:crosses val="autoZero"/>
        <c:crossBetween val="between"/>
      </c:valAx>
      <c:valAx>
        <c:axId val="555388936"/>
        <c:scaling>
          <c:orientation val="minMax"/>
          <c:max val="0.4"/>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555392008"/>
        <c:crosses val="max"/>
        <c:crossBetween val="between"/>
      </c:valAx>
      <c:catAx>
        <c:axId val="555392008"/>
        <c:scaling>
          <c:orientation val="minMax"/>
        </c:scaling>
        <c:delete val="1"/>
        <c:axPos val="b"/>
        <c:numFmt formatCode="General" sourceLinked="1"/>
        <c:majorTickMark val="out"/>
        <c:minorTickMark val="none"/>
        <c:tickLblPos val="nextTo"/>
        <c:crossAx val="5553889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AR and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strRef>
              <c:f>D3_BalSheetHorizontalAnalysis!$M$18</c:f>
              <c:strCache>
                <c:ptCount val="1"/>
                <c:pt idx="0">
                  <c:v>Trade and Other Receivables</c:v>
                </c:pt>
              </c:strCache>
            </c:strRef>
          </c:tx>
          <c:spPr>
            <a:solidFill>
              <a:srgbClr val="0D0D0D"/>
            </a:solidFill>
            <a:ln>
              <a:solidFill>
                <a:srgbClr val="808080"/>
              </a:solidFill>
              <a:prstDash val="solid"/>
            </a:ln>
            <a:effectLst/>
          </c:spPr>
          <c:invertIfNegative val="0"/>
          <c:cat>
            <c:numRef>
              <c:f>D3_BalSheetHorizontalAnalysis!$N$17:$S$17</c:f>
              <c:numCache>
                <c:formatCode>General</c:formatCode>
                <c:ptCount val="6"/>
                <c:pt idx="0">
                  <c:v>2020</c:v>
                </c:pt>
                <c:pt idx="1">
                  <c:v>2021</c:v>
                </c:pt>
                <c:pt idx="2">
                  <c:v>2022</c:v>
                </c:pt>
                <c:pt idx="3">
                  <c:v>2023</c:v>
                </c:pt>
                <c:pt idx="4">
                  <c:v>2024</c:v>
                </c:pt>
                <c:pt idx="5">
                  <c:v>2025</c:v>
                </c:pt>
              </c:numCache>
            </c:numRef>
          </c:cat>
          <c:val>
            <c:numRef>
              <c:f>D3_BalSheetHorizontalAnalysis!$N$18:$S$18</c:f>
              <c:numCache>
                <c:formatCode>General</c:formatCode>
                <c:ptCount val="6"/>
                <c:pt idx="0">
                  <c:v>9993</c:v>
                </c:pt>
                <c:pt idx="1">
                  <c:v>11370</c:v>
                </c:pt>
                <c:pt idx="2">
                  <c:v>15729</c:v>
                </c:pt>
                <c:pt idx="3">
                  <c:v>15601</c:v>
                </c:pt>
                <c:pt idx="4" formatCode="&quot;$&quot;#,##0_);[Red]\(&quot;$&quot;#,##0\)">
                  <c:v>14723</c:v>
                </c:pt>
                <c:pt idx="5" formatCode="&quot;$&quot;#,##0_);[Red]\(&quot;$&quot;#,##0\)">
                  <c:v>15398</c:v>
                </c:pt>
              </c:numCache>
            </c:numRef>
          </c:val>
          <c:extLst>
            <c:ext xmlns:c16="http://schemas.microsoft.com/office/drawing/2014/chart" uri="{C3380CC4-5D6E-409C-BE32-E72D297353CC}">
              <c16:uniqueId val="{00000000-945A-4157-8D0C-BB5742DBAA05}"/>
            </c:ext>
          </c:extLst>
        </c:ser>
        <c:ser>
          <c:idx val="3"/>
          <c:order val="2"/>
          <c:tx>
            <c:strRef>
              <c:f>D3_BalSheetHorizontalAnalysis!$M$20</c:f>
              <c:strCache>
                <c:ptCount val="1"/>
                <c:pt idx="0">
                  <c:v>Revenue</c:v>
                </c:pt>
              </c:strCache>
            </c:strRef>
          </c:tx>
          <c:spPr>
            <a:solidFill>
              <a:srgbClr val="808080"/>
            </a:solidFill>
            <a:ln>
              <a:solidFill>
                <a:srgbClr val="0D0D0D"/>
              </a:solidFill>
              <a:prstDash val="solid"/>
            </a:ln>
            <a:effectLst/>
          </c:spPr>
          <c:invertIfNegative val="0"/>
          <c:cat>
            <c:numRef>
              <c:f>D3_BalSheetHorizontalAnalysis!$N$17:$S$17</c:f>
              <c:numCache>
                <c:formatCode>General</c:formatCode>
                <c:ptCount val="6"/>
                <c:pt idx="0">
                  <c:v>2020</c:v>
                </c:pt>
                <c:pt idx="1">
                  <c:v>2021</c:v>
                </c:pt>
                <c:pt idx="2">
                  <c:v>2022</c:v>
                </c:pt>
                <c:pt idx="3">
                  <c:v>2023</c:v>
                </c:pt>
                <c:pt idx="4">
                  <c:v>2024</c:v>
                </c:pt>
                <c:pt idx="5">
                  <c:v>2025</c:v>
                </c:pt>
              </c:numCache>
            </c:numRef>
          </c:cat>
          <c:val>
            <c:numRef>
              <c:f>D3_BalSheetHorizontalAnalysis!$N$20:$S$20</c:f>
              <c:numCache>
                <c:formatCode>General</c:formatCode>
                <c:ptCount val="6"/>
                <c:pt idx="0">
                  <c:v>127144</c:v>
                </c:pt>
                <c:pt idx="1">
                  <c:v>136341</c:v>
                </c:pt>
                <c:pt idx="2">
                  <c:v>158057</c:v>
                </c:pt>
                <c:pt idx="3">
                  <c:v>176191</c:v>
                </c:pt>
                <c:pt idx="4">
                  <c:v>184992</c:v>
                </c:pt>
                <c:pt idx="5">
                  <c:v>187267</c:v>
                </c:pt>
              </c:numCache>
            </c:numRef>
          </c:val>
          <c:extLst>
            <c:ext xmlns:c16="http://schemas.microsoft.com/office/drawing/2014/chart" uri="{C3380CC4-5D6E-409C-BE32-E72D297353CC}">
              <c16:uniqueId val="{00000001-945A-4157-8D0C-BB5742DBAA05}"/>
            </c:ext>
          </c:extLst>
        </c:ser>
        <c:dLbls>
          <c:showLegendKey val="0"/>
          <c:showVal val="0"/>
          <c:showCatName val="0"/>
          <c:showSerName val="0"/>
          <c:showPercent val="0"/>
          <c:showBubbleSize val="0"/>
        </c:dLbls>
        <c:gapWidth val="219"/>
        <c:overlap val="-27"/>
        <c:axId val="831339015"/>
        <c:axId val="831341063"/>
      </c:barChart>
      <c:lineChart>
        <c:grouping val="standard"/>
        <c:varyColors val="0"/>
        <c:ser>
          <c:idx val="2"/>
          <c:order val="1"/>
          <c:tx>
            <c:strRef>
              <c:f>D3_BalSheetHorizontalAnalysis!$M$19</c:f>
              <c:strCache>
                <c:ptCount val="1"/>
                <c:pt idx="0">
                  <c:v>% Change AR</c:v>
                </c:pt>
              </c:strCache>
            </c:strRef>
          </c:tx>
          <c:spPr>
            <a:ln w="28575" cap="rnd">
              <a:solidFill>
                <a:srgbClr val="1F497D"/>
              </a:solidFill>
              <a:prstDash val="solid"/>
              <a:round/>
            </a:ln>
            <a:effectLst/>
          </c:spPr>
          <c:marker>
            <c:symbol val="none"/>
          </c:marker>
          <c:cat>
            <c:numRef>
              <c:f>D3_BalSheetHorizontalAnalysis!$N$17:$S$17</c:f>
              <c:numCache>
                <c:formatCode>General</c:formatCode>
                <c:ptCount val="6"/>
                <c:pt idx="0">
                  <c:v>2020</c:v>
                </c:pt>
                <c:pt idx="1">
                  <c:v>2021</c:v>
                </c:pt>
                <c:pt idx="2">
                  <c:v>2022</c:v>
                </c:pt>
                <c:pt idx="3">
                  <c:v>2023</c:v>
                </c:pt>
                <c:pt idx="4">
                  <c:v>2024</c:v>
                </c:pt>
                <c:pt idx="5">
                  <c:v>2025</c:v>
                </c:pt>
              </c:numCache>
            </c:numRef>
          </c:cat>
          <c:val>
            <c:numRef>
              <c:f>D3_BalSheetHorizontalAnalysis!$N$19:$S$19</c:f>
              <c:numCache>
                <c:formatCode>0.00%</c:formatCode>
                <c:ptCount val="6"/>
                <c:pt idx="0">
                  <c:v>0</c:v>
                </c:pt>
                <c:pt idx="1">
                  <c:v>0.13779645752026418</c:v>
                </c:pt>
                <c:pt idx="2">
                  <c:v>0.383377308707124</c:v>
                </c:pt>
                <c:pt idx="3">
                  <c:v>-8.1378345730815684E-3</c:v>
                </c:pt>
                <c:pt idx="4">
                  <c:v>-5.6278443689507081E-2</c:v>
                </c:pt>
                <c:pt idx="5">
                  <c:v>4.5846634517421721E-2</c:v>
                </c:pt>
              </c:numCache>
            </c:numRef>
          </c:val>
          <c:smooth val="0"/>
          <c:extLst>
            <c:ext xmlns:c16="http://schemas.microsoft.com/office/drawing/2014/chart" uri="{C3380CC4-5D6E-409C-BE32-E72D297353CC}">
              <c16:uniqueId val="{00000002-945A-4157-8D0C-BB5742DBAA05}"/>
            </c:ext>
          </c:extLst>
        </c:ser>
        <c:ser>
          <c:idx val="4"/>
          <c:order val="3"/>
          <c:tx>
            <c:strRef>
              <c:f>D3_BalSheetHorizontalAnalysis!$M$21</c:f>
              <c:strCache>
                <c:ptCount val="1"/>
                <c:pt idx="0">
                  <c:v>% Change Rev</c:v>
                </c:pt>
              </c:strCache>
            </c:strRef>
          </c:tx>
          <c:spPr>
            <a:ln w="28575" cap="rnd">
              <a:solidFill>
                <a:schemeClr val="accent5"/>
              </a:solidFill>
              <a:round/>
            </a:ln>
            <a:effectLst/>
          </c:spPr>
          <c:marker>
            <c:symbol val="none"/>
          </c:marker>
          <c:cat>
            <c:numRef>
              <c:f>D3_BalSheetHorizontalAnalysis!$N$17:$S$17</c:f>
              <c:numCache>
                <c:formatCode>General</c:formatCode>
                <c:ptCount val="6"/>
                <c:pt idx="0">
                  <c:v>2020</c:v>
                </c:pt>
                <c:pt idx="1">
                  <c:v>2021</c:v>
                </c:pt>
                <c:pt idx="2">
                  <c:v>2022</c:v>
                </c:pt>
                <c:pt idx="3">
                  <c:v>2023</c:v>
                </c:pt>
                <c:pt idx="4">
                  <c:v>2024</c:v>
                </c:pt>
                <c:pt idx="5">
                  <c:v>2025</c:v>
                </c:pt>
              </c:numCache>
            </c:numRef>
          </c:cat>
          <c:val>
            <c:numRef>
              <c:f>D3_BalSheetHorizontalAnalysis!$N$21:$S$21</c:f>
              <c:numCache>
                <c:formatCode>0.00%</c:formatCode>
                <c:ptCount val="6"/>
                <c:pt idx="0">
                  <c:v>0</c:v>
                </c:pt>
                <c:pt idx="1">
                  <c:v>7.2335304851192356E-2</c:v>
                </c:pt>
                <c:pt idx="2">
                  <c:v>0.15927710666637329</c:v>
                </c:pt>
                <c:pt idx="3">
                  <c:v>0.11473076168723942</c:v>
                </c:pt>
                <c:pt idx="4">
                  <c:v>4.9951473117242087E-2</c:v>
                </c:pt>
                <c:pt idx="5">
                  <c:v>1.229782909531223E-2</c:v>
                </c:pt>
              </c:numCache>
            </c:numRef>
          </c:val>
          <c:smooth val="0"/>
          <c:extLst>
            <c:ext xmlns:c16="http://schemas.microsoft.com/office/drawing/2014/chart" uri="{C3380CC4-5D6E-409C-BE32-E72D297353CC}">
              <c16:uniqueId val="{00000003-945A-4157-8D0C-BB5742DBAA05}"/>
            </c:ext>
          </c:extLst>
        </c:ser>
        <c:dLbls>
          <c:showLegendKey val="0"/>
          <c:showVal val="0"/>
          <c:showCatName val="0"/>
          <c:showSerName val="0"/>
          <c:showPercent val="0"/>
          <c:showBubbleSize val="0"/>
        </c:dLbls>
        <c:marker val="1"/>
        <c:smooth val="0"/>
        <c:axId val="946648071"/>
        <c:axId val="946636807"/>
      </c:lineChart>
      <c:catAx>
        <c:axId val="831339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31341063"/>
        <c:crosses val="autoZero"/>
        <c:auto val="1"/>
        <c:lblAlgn val="ctr"/>
        <c:lblOffset val="100"/>
        <c:noMultiLvlLbl val="0"/>
      </c:catAx>
      <c:valAx>
        <c:axId val="831341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31339015"/>
        <c:crosses val="autoZero"/>
        <c:crossBetween val="between"/>
      </c:valAx>
      <c:valAx>
        <c:axId val="94663680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946648071"/>
        <c:crosses val="max"/>
        <c:crossBetween val="between"/>
      </c:valAx>
      <c:catAx>
        <c:axId val="946648071"/>
        <c:scaling>
          <c:orientation val="minMax"/>
        </c:scaling>
        <c:delete val="1"/>
        <c:axPos val="b"/>
        <c:numFmt formatCode="General" sourceLinked="1"/>
        <c:majorTickMark val="out"/>
        <c:minorTickMark val="none"/>
        <c:tickLblPos val="nextTo"/>
        <c:crossAx val="946636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Operating Cash Flows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strRef>
              <c:f>D3_StatementofCFsHorizontal!$J$3</c:f>
              <c:strCache>
                <c:ptCount val="1"/>
                <c:pt idx="0">
                  <c:v>CF - Operating</c:v>
                </c:pt>
              </c:strCache>
            </c:strRef>
          </c:tx>
          <c:spPr>
            <a:solidFill>
              <a:srgbClr val="808080"/>
            </a:solidFill>
            <a:ln>
              <a:solidFill>
                <a:srgbClr val="000000"/>
              </a:solidFill>
              <a:prstDash val="solid"/>
            </a:ln>
            <a:effectLst/>
          </c:spPr>
          <c:invertIfNegative val="0"/>
          <c:cat>
            <c:numRef>
              <c:f>D3_StatementofCFsHorizontal!$K$2:$P$2</c:f>
              <c:numCache>
                <c:formatCode>General</c:formatCode>
                <c:ptCount val="6"/>
                <c:pt idx="0">
                  <c:v>2020</c:v>
                </c:pt>
                <c:pt idx="1">
                  <c:v>2021</c:v>
                </c:pt>
                <c:pt idx="2">
                  <c:v>2022</c:v>
                </c:pt>
                <c:pt idx="3">
                  <c:v>2023</c:v>
                </c:pt>
                <c:pt idx="4">
                  <c:v>2024</c:v>
                </c:pt>
                <c:pt idx="5">
                  <c:v>2025</c:v>
                </c:pt>
              </c:numCache>
            </c:numRef>
          </c:cat>
          <c:val>
            <c:numRef>
              <c:f>D3_StatementofCFsHorizontal!$K$3:$P$3</c:f>
              <c:numCache>
                <c:formatCode>General</c:formatCode>
                <c:ptCount val="6"/>
                <c:pt idx="0">
                  <c:v>24269</c:v>
                </c:pt>
                <c:pt idx="1">
                  <c:v>15787</c:v>
                </c:pt>
                <c:pt idx="2">
                  <c:v>6853</c:v>
                </c:pt>
                <c:pt idx="3">
                  <c:v>14918</c:v>
                </c:pt>
                <c:pt idx="4">
                  <c:v>15423</c:v>
                </c:pt>
                <c:pt idx="5">
                  <c:v>21282</c:v>
                </c:pt>
              </c:numCache>
            </c:numRef>
          </c:val>
          <c:extLst>
            <c:ext xmlns:c16="http://schemas.microsoft.com/office/drawing/2014/chart" uri="{C3380CC4-5D6E-409C-BE32-E72D297353CC}">
              <c16:uniqueId val="{00000000-30DE-4DDC-85EF-43170F7A8B71}"/>
            </c:ext>
          </c:extLst>
        </c:ser>
        <c:dLbls>
          <c:showLegendKey val="0"/>
          <c:showVal val="0"/>
          <c:showCatName val="0"/>
          <c:showSerName val="0"/>
          <c:showPercent val="0"/>
          <c:showBubbleSize val="0"/>
        </c:dLbls>
        <c:gapWidth val="219"/>
        <c:overlap val="-27"/>
        <c:axId val="489176584"/>
        <c:axId val="55649800"/>
      </c:barChart>
      <c:lineChart>
        <c:grouping val="standard"/>
        <c:varyColors val="0"/>
        <c:ser>
          <c:idx val="2"/>
          <c:order val="1"/>
          <c:tx>
            <c:strRef>
              <c:f>D3_StatementofCFsHorizontal!$J$4</c:f>
              <c:strCache>
                <c:ptCount val="1"/>
                <c:pt idx="0">
                  <c:v>% Change - Operating</c:v>
                </c:pt>
              </c:strCache>
            </c:strRef>
          </c:tx>
          <c:spPr>
            <a:ln w="28575" cap="rnd">
              <a:solidFill>
                <a:srgbClr val="1F497D"/>
              </a:solidFill>
              <a:prstDash val="solid"/>
              <a:round/>
            </a:ln>
            <a:effectLst/>
          </c:spPr>
          <c:marker>
            <c:symbol val="none"/>
          </c:marker>
          <c:cat>
            <c:numRef>
              <c:f>D3_StatementofCFsHorizontal!$K$2:$P$2</c:f>
              <c:numCache>
                <c:formatCode>General</c:formatCode>
                <c:ptCount val="6"/>
                <c:pt idx="0">
                  <c:v>2020</c:v>
                </c:pt>
                <c:pt idx="1">
                  <c:v>2021</c:v>
                </c:pt>
                <c:pt idx="2">
                  <c:v>2022</c:v>
                </c:pt>
                <c:pt idx="3">
                  <c:v>2023</c:v>
                </c:pt>
                <c:pt idx="4">
                  <c:v>2024</c:v>
                </c:pt>
                <c:pt idx="5">
                  <c:v>2025</c:v>
                </c:pt>
              </c:numCache>
            </c:numRef>
          </c:cat>
          <c:val>
            <c:numRef>
              <c:f>D3_StatementofCFsHorizontal!$K$4:$P$4</c:f>
              <c:numCache>
                <c:formatCode>General</c:formatCode>
                <c:ptCount val="6"/>
                <c:pt idx="0">
                  <c:v>0</c:v>
                </c:pt>
                <c:pt idx="1">
                  <c:v>-0.34949936132514731</c:v>
                </c:pt>
                <c:pt idx="2">
                  <c:v>-0.56590865902324694</c:v>
                </c:pt>
                <c:pt idx="3">
                  <c:v>1.1768568510141544</c:v>
                </c:pt>
                <c:pt idx="4">
                  <c:v>3.3851722751039016E-2</c:v>
                </c:pt>
                <c:pt idx="5">
                  <c:v>0.37988718148220191</c:v>
                </c:pt>
              </c:numCache>
            </c:numRef>
          </c:val>
          <c:smooth val="0"/>
          <c:extLst>
            <c:ext xmlns:c16="http://schemas.microsoft.com/office/drawing/2014/chart" uri="{C3380CC4-5D6E-409C-BE32-E72D297353CC}">
              <c16:uniqueId val="{00000001-30DE-4DDC-85EF-43170F7A8B71}"/>
            </c:ext>
          </c:extLst>
        </c:ser>
        <c:dLbls>
          <c:showLegendKey val="0"/>
          <c:showVal val="0"/>
          <c:showCatName val="0"/>
          <c:showSerName val="0"/>
          <c:showPercent val="0"/>
          <c:showBubbleSize val="0"/>
        </c:dLbls>
        <c:marker val="1"/>
        <c:smooth val="0"/>
        <c:axId val="526210056"/>
        <c:axId val="526194696"/>
      </c:lineChart>
      <c:catAx>
        <c:axId val="48917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55649800"/>
        <c:crosses val="autoZero"/>
        <c:auto val="1"/>
        <c:lblAlgn val="ctr"/>
        <c:lblOffset val="100"/>
        <c:noMultiLvlLbl val="0"/>
      </c:catAx>
      <c:valAx>
        <c:axId val="55649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489176584"/>
        <c:crosses val="autoZero"/>
        <c:crossBetween val="between"/>
      </c:valAx>
      <c:valAx>
        <c:axId val="52619469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526210056"/>
        <c:crosses val="max"/>
        <c:crossBetween val="between"/>
      </c:valAx>
      <c:catAx>
        <c:axId val="526210056"/>
        <c:scaling>
          <c:orientation val="minMax"/>
        </c:scaling>
        <c:delete val="1"/>
        <c:axPos val="b"/>
        <c:numFmt formatCode="General" sourceLinked="1"/>
        <c:majorTickMark val="out"/>
        <c:minorTickMark val="none"/>
        <c:tickLblPos val="nextTo"/>
        <c:crossAx val="5261946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Investing Cash Flows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strRef>
              <c:f>D3_StatementofCFsHorizontal!$J$7</c:f>
              <c:strCache>
                <c:ptCount val="1"/>
                <c:pt idx="0">
                  <c:v>CF - Investing</c:v>
                </c:pt>
              </c:strCache>
            </c:strRef>
          </c:tx>
          <c:spPr>
            <a:solidFill>
              <a:srgbClr val="808080"/>
            </a:solidFill>
            <a:ln>
              <a:solidFill>
                <a:srgbClr val="000000"/>
              </a:solidFill>
              <a:prstDash val="solid"/>
            </a:ln>
            <a:effectLst/>
          </c:spPr>
          <c:invertIfNegative val="0"/>
          <c:cat>
            <c:numRef>
              <c:f>D3_StatementofCFsHorizontal!$K$6:$P$6</c:f>
              <c:numCache>
                <c:formatCode>General</c:formatCode>
                <c:ptCount val="6"/>
                <c:pt idx="0">
                  <c:v>2020</c:v>
                </c:pt>
                <c:pt idx="1">
                  <c:v>2021</c:v>
                </c:pt>
                <c:pt idx="2">
                  <c:v>2022</c:v>
                </c:pt>
                <c:pt idx="3">
                  <c:v>2023</c:v>
                </c:pt>
                <c:pt idx="4">
                  <c:v>2024</c:v>
                </c:pt>
                <c:pt idx="5">
                  <c:v>2025</c:v>
                </c:pt>
              </c:numCache>
            </c:numRef>
          </c:cat>
          <c:val>
            <c:numRef>
              <c:f>D3_StatementofCFsHorizontal!$K$7:$P$7</c:f>
              <c:numCache>
                <c:formatCode>General</c:formatCode>
                <c:ptCount val="6"/>
                <c:pt idx="0">
                  <c:v>-18615</c:v>
                </c:pt>
                <c:pt idx="1">
                  <c:v>2745</c:v>
                </c:pt>
                <c:pt idx="2">
                  <c:v>-4347</c:v>
                </c:pt>
                <c:pt idx="3">
                  <c:v>-17628</c:v>
                </c:pt>
                <c:pt idx="4">
                  <c:v>-24370</c:v>
                </c:pt>
                <c:pt idx="5">
                  <c:v>-18049</c:v>
                </c:pt>
              </c:numCache>
            </c:numRef>
          </c:val>
          <c:extLst>
            <c:ext xmlns:c16="http://schemas.microsoft.com/office/drawing/2014/chart" uri="{C3380CC4-5D6E-409C-BE32-E72D297353CC}">
              <c16:uniqueId val="{00000000-411F-42D7-AF2E-06286941327B}"/>
            </c:ext>
          </c:extLst>
        </c:ser>
        <c:dLbls>
          <c:showLegendKey val="0"/>
          <c:showVal val="0"/>
          <c:showCatName val="0"/>
          <c:showSerName val="0"/>
          <c:showPercent val="0"/>
          <c:showBubbleSize val="0"/>
        </c:dLbls>
        <c:gapWidth val="219"/>
        <c:overlap val="-27"/>
        <c:axId val="804381704"/>
        <c:axId val="804383752"/>
      </c:barChart>
      <c:lineChart>
        <c:grouping val="standard"/>
        <c:varyColors val="0"/>
        <c:ser>
          <c:idx val="2"/>
          <c:order val="1"/>
          <c:tx>
            <c:strRef>
              <c:f>D3_StatementofCFsHorizontal!$J$8</c:f>
              <c:strCache>
                <c:ptCount val="1"/>
                <c:pt idx="0">
                  <c:v>% Change - Investing</c:v>
                </c:pt>
              </c:strCache>
            </c:strRef>
          </c:tx>
          <c:spPr>
            <a:ln w="28575" cap="rnd">
              <a:solidFill>
                <a:srgbClr val="1F497D"/>
              </a:solidFill>
              <a:prstDash val="solid"/>
              <a:round/>
            </a:ln>
            <a:effectLst/>
          </c:spPr>
          <c:marker>
            <c:symbol val="none"/>
          </c:marker>
          <c:cat>
            <c:numRef>
              <c:f>D3_StatementofCFsHorizontal!$K$6:$P$6</c:f>
              <c:numCache>
                <c:formatCode>General</c:formatCode>
                <c:ptCount val="6"/>
                <c:pt idx="0">
                  <c:v>2020</c:v>
                </c:pt>
                <c:pt idx="1">
                  <c:v>2021</c:v>
                </c:pt>
                <c:pt idx="2">
                  <c:v>2022</c:v>
                </c:pt>
                <c:pt idx="3">
                  <c:v>2023</c:v>
                </c:pt>
                <c:pt idx="4">
                  <c:v>2024</c:v>
                </c:pt>
                <c:pt idx="5">
                  <c:v>2025</c:v>
                </c:pt>
              </c:numCache>
            </c:numRef>
          </c:cat>
          <c:val>
            <c:numRef>
              <c:f>D3_StatementofCFsHorizontal!$K$8:$P$8</c:f>
              <c:numCache>
                <c:formatCode>General</c:formatCode>
                <c:ptCount val="6"/>
                <c:pt idx="0">
                  <c:v>0</c:v>
                </c:pt>
                <c:pt idx="1">
                  <c:v>1.1474617244157936</c:v>
                </c:pt>
                <c:pt idx="2">
                  <c:v>-2.583606557377049</c:v>
                </c:pt>
                <c:pt idx="3">
                  <c:v>-3.0552104899930987</c:v>
                </c:pt>
                <c:pt idx="4">
                  <c:v>-0.38245972316768778</c:v>
                </c:pt>
                <c:pt idx="5">
                  <c:v>0.25937628231432086</c:v>
                </c:pt>
              </c:numCache>
            </c:numRef>
          </c:val>
          <c:smooth val="0"/>
          <c:extLst>
            <c:ext xmlns:c16="http://schemas.microsoft.com/office/drawing/2014/chart" uri="{C3380CC4-5D6E-409C-BE32-E72D297353CC}">
              <c16:uniqueId val="{00000001-411F-42D7-AF2E-06286941327B}"/>
            </c:ext>
          </c:extLst>
        </c:ser>
        <c:dLbls>
          <c:showLegendKey val="0"/>
          <c:showVal val="0"/>
          <c:showCatName val="0"/>
          <c:showSerName val="0"/>
          <c:showPercent val="0"/>
          <c:showBubbleSize val="0"/>
        </c:dLbls>
        <c:marker val="1"/>
        <c:smooth val="0"/>
        <c:axId val="1045105160"/>
        <c:axId val="295894536"/>
      </c:lineChart>
      <c:catAx>
        <c:axId val="80438170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04383752"/>
        <c:crosses val="autoZero"/>
        <c:auto val="1"/>
        <c:lblAlgn val="ctr"/>
        <c:lblOffset val="100"/>
        <c:noMultiLvlLbl val="0"/>
      </c:catAx>
      <c:valAx>
        <c:axId val="804383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04381704"/>
        <c:crosses val="autoZero"/>
        <c:crossBetween val="between"/>
      </c:valAx>
      <c:valAx>
        <c:axId val="29589453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045105160"/>
        <c:crosses val="max"/>
        <c:crossBetween val="between"/>
      </c:valAx>
      <c:catAx>
        <c:axId val="1045105160"/>
        <c:scaling>
          <c:orientation val="minMax"/>
        </c:scaling>
        <c:delete val="1"/>
        <c:axPos val="b"/>
        <c:numFmt formatCode="General" sourceLinked="1"/>
        <c:majorTickMark val="out"/>
        <c:minorTickMark val="none"/>
        <c:tickLblPos val="nextTo"/>
        <c:crossAx val="295894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Financing Cash Flows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strRef>
              <c:f>D3_StatementofCFsHorizontal!$J$11</c:f>
              <c:strCache>
                <c:ptCount val="1"/>
                <c:pt idx="0">
                  <c:v>CF - Financing</c:v>
                </c:pt>
              </c:strCache>
            </c:strRef>
          </c:tx>
          <c:spPr>
            <a:solidFill>
              <a:srgbClr val="808080"/>
            </a:solidFill>
            <a:ln>
              <a:solidFill>
                <a:srgbClr val="000000"/>
              </a:solidFill>
              <a:prstDash val="solid"/>
            </a:ln>
            <a:effectLst/>
          </c:spPr>
          <c:invertIfNegative val="0"/>
          <c:cat>
            <c:numRef>
              <c:f>D3_StatementofCFsHorizontal!$K$10:$P$10</c:f>
              <c:numCache>
                <c:formatCode>General</c:formatCode>
                <c:ptCount val="6"/>
                <c:pt idx="0">
                  <c:v>2020</c:v>
                </c:pt>
                <c:pt idx="1">
                  <c:v>2021</c:v>
                </c:pt>
                <c:pt idx="2">
                  <c:v>2022</c:v>
                </c:pt>
                <c:pt idx="3">
                  <c:v>2023</c:v>
                </c:pt>
                <c:pt idx="4">
                  <c:v>2024</c:v>
                </c:pt>
                <c:pt idx="5">
                  <c:v>2025</c:v>
                </c:pt>
              </c:numCache>
            </c:numRef>
          </c:cat>
          <c:val>
            <c:numRef>
              <c:f>D3_StatementofCFsHorizontal!$K$11:$P$11</c:f>
              <c:numCache>
                <c:formatCode>General</c:formatCode>
                <c:ptCount val="6"/>
                <c:pt idx="0">
                  <c:v>2315</c:v>
                </c:pt>
                <c:pt idx="1">
                  <c:v>-23498</c:v>
                </c:pt>
                <c:pt idx="2">
                  <c:v>2511</c:v>
                </c:pt>
                <c:pt idx="3">
                  <c:v>2584</c:v>
                </c:pt>
                <c:pt idx="4">
                  <c:v>7485</c:v>
                </c:pt>
                <c:pt idx="5">
                  <c:v>-3205</c:v>
                </c:pt>
              </c:numCache>
            </c:numRef>
          </c:val>
          <c:extLst>
            <c:ext xmlns:c16="http://schemas.microsoft.com/office/drawing/2014/chart" uri="{C3380CC4-5D6E-409C-BE32-E72D297353CC}">
              <c16:uniqueId val="{00000000-F3A2-4918-A246-A97D3BBBDBBB}"/>
            </c:ext>
          </c:extLst>
        </c:ser>
        <c:dLbls>
          <c:showLegendKey val="0"/>
          <c:showVal val="0"/>
          <c:showCatName val="0"/>
          <c:showSerName val="0"/>
          <c:showPercent val="0"/>
          <c:showBubbleSize val="0"/>
        </c:dLbls>
        <c:gapWidth val="219"/>
        <c:overlap val="-27"/>
        <c:axId val="867848"/>
        <c:axId val="489208840"/>
      </c:barChart>
      <c:lineChart>
        <c:grouping val="standard"/>
        <c:varyColors val="0"/>
        <c:ser>
          <c:idx val="2"/>
          <c:order val="1"/>
          <c:tx>
            <c:strRef>
              <c:f>D3_StatementofCFsHorizontal!$J$12</c:f>
              <c:strCache>
                <c:ptCount val="1"/>
                <c:pt idx="0">
                  <c:v>% Change - Financing</c:v>
                </c:pt>
              </c:strCache>
            </c:strRef>
          </c:tx>
          <c:spPr>
            <a:ln w="28575" cap="rnd">
              <a:solidFill>
                <a:srgbClr val="1F497D"/>
              </a:solidFill>
              <a:prstDash val="solid"/>
              <a:round/>
            </a:ln>
            <a:effectLst/>
          </c:spPr>
          <c:marker>
            <c:symbol val="none"/>
          </c:marker>
          <c:cat>
            <c:numRef>
              <c:f>D3_StatementofCFsHorizontal!$K$10:$P$10</c:f>
              <c:numCache>
                <c:formatCode>General</c:formatCode>
                <c:ptCount val="6"/>
                <c:pt idx="0">
                  <c:v>2020</c:v>
                </c:pt>
                <c:pt idx="1">
                  <c:v>2021</c:v>
                </c:pt>
                <c:pt idx="2">
                  <c:v>2022</c:v>
                </c:pt>
                <c:pt idx="3">
                  <c:v>2023</c:v>
                </c:pt>
                <c:pt idx="4">
                  <c:v>2024</c:v>
                </c:pt>
                <c:pt idx="5">
                  <c:v>2025</c:v>
                </c:pt>
              </c:numCache>
            </c:numRef>
          </c:cat>
          <c:val>
            <c:numRef>
              <c:f>D3_StatementofCFsHorizontal!$K$12:$P$12</c:f>
              <c:numCache>
                <c:formatCode>General</c:formatCode>
                <c:ptCount val="6"/>
                <c:pt idx="0">
                  <c:v>0</c:v>
                </c:pt>
                <c:pt idx="1">
                  <c:v>-11.150323974082074</c:v>
                </c:pt>
                <c:pt idx="2">
                  <c:v>1.1068601583113455</c:v>
                </c:pt>
                <c:pt idx="3">
                  <c:v>2.9072082835523694E-2</c:v>
                </c:pt>
                <c:pt idx="4">
                  <c:v>1.896671826625387</c:v>
                </c:pt>
                <c:pt idx="5">
                  <c:v>-1.428189712758851</c:v>
                </c:pt>
              </c:numCache>
            </c:numRef>
          </c:val>
          <c:smooth val="0"/>
          <c:extLst>
            <c:ext xmlns:c16="http://schemas.microsoft.com/office/drawing/2014/chart" uri="{C3380CC4-5D6E-409C-BE32-E72D297353CC}">
              <c16:uniqueId val="{00000001-F3A2-4918-A246-A97D3BBBDBBB}"/>
            </c:ext>
          </c:extLst>
        </c:ser>
        <c:dLbls>
          <c:showLegendKey val="0"/>
          <c:showVal val="0"/>
          <c:showCatName val="0"/>
          <c:showSerName val="0"/>
          <c:showPercent val="0"/>
          <c:showBubbleSize val="0"/>
        </c:dLbls>
        <c:marker val="1"/>
        <c:smooth val="0"/>
        <c:axId val="809344008"/>
        <c:axId val="809340936"/>
      </c:lineChart>
      <c:catAx>
        <c:axId val="8678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489208840"/>
        <c:crosses val="autoZero"/>
        <c:auto val="1"/>
        <c:lblAlgn val="ctr"/>
        <c:lblOffset val="100"/>
        <c:noMultiLvlLbl val="0"/>
      </c:catAx>
      <c:valAx>
        <c:axId val="489208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67848"/>
        <c:crosses val="autoZero"/>
        <c:crossBetween val="between"/>
      </c:valAx>
      <c:valAx>
        <c:axId val="80934093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09344008"/>
        <c:crosses val="max"/>
        <c:crossBetween val="between"/>
      </c:valAx>
      <c:catAx>
        <c:axId val="809344008"/>
        <c:scaling>
          <c:orientation val="minMax"/>
        </c:scaling>
        <c:delete val="1"/>
        <c:axPos val="b"/>
        <c:numFmt formatCode="General" sourceLinked="1"/>
        <c:majorTickMark val="out"/>
        <c:minorTickMark val="none"/>
        <c:tickLblPos val="nextTo"/>
        <c:crossAx val="8093409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Statement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D2_IncomeStatmentCommonSize!$A$26</c:f>
              <c:strCache>
                <c:ptCount val="1"/>
                <c:pt idx="0">
                  <c:v>Net Income (Loss)</c:v>
                </c:pt>
              </c:strCache>
            </c:strRef>
          </c:tx>
          <c:spPr>
            <a:ln w="28575" cap="rnd">
              <a:solidFill>
                <a:schemeClr val="accent1"/>
              </a:solidFill>
              <a:round/>
            </a:ln>
            <a:effectLst/>
          </c:spPr>
          <c:marker>
            <c:symbol val="none"/>
          </c:marker>
          <c:cat>
            <c:numRef>
              <c:f>D2_IncomeStatmentCommonSize!$B$2:$G$2</c:f>
              <c:numCache>
                <c:formatCode>General</c:formatCode>
                <c:ptCount val="6"/>
                <c:pt idx="0">
                  <c:v>2025</c:v>
                </c:pt>
                <c:pt idx="1">
                  <c:v>2024</c:v>
                </c:pt>
                <c:pt idx="2">
                  <c:v>2023</c:v>
                </c:pt>
                <c:pt idx="3">
                  <c:v>2022</c:v>
                </c:pt>
                <c:pt idx="4">
                  <c:v>2021</c:v>
                </c:pt>
                <c:pt idx="5">
                  <c:v>2020</c:v>
                </c:pt>
              </c:numCache>
            </c:numRef>
          </c:cat>
          <c:val>
            <c:numRef>
              <c:f>D2_IncomeStatmentCommonSize!$B$26:$G$26</c:f>
              <c:numCache>
                <c:formatCode>0.00%</c:formatCode>
                <c:ptCount val="6"/>
                <c:pt idx="0">
                  <c:v>-4.3691627462393266E-2</c:v>
                </c:pt>
                <c:pt idx="1">
                  <c:v>3.1779752637951908E-2</c:v>
                </c:pt>
                <c:pt idx="2">
                  <c:v>2.4672088812708937E-2</c:v>
                </c:pt>
                <c:pt idx="3">
                  <c:v>-1.2533453121342301E-2</c:v>
                </c:pt>
                <c:pt idx="4">
                  <c:v>0.13155983893326292</c:v>
                </c:pt>
                <c:pt idx="5">
                  <c:v>-1.0059460139684138E-2</c:v>
                </c:pt>
              </c:numCache>
            </c:numRef>
          </c:val>
          <c:smooth val="0"/>
          <c:extLst>
            <c:ext xmlns:c16="http://schemas.microsoft.com/office/drawing/2014/chart" uri="{C3380CC4-5D6E-409C-BE32-E72D297353CC}">
              <c16:uniqueId val="{00000000-C3FA-404B-BA96-2749741AA99C}"/>
            </c:ext>
          </c:extLst>
        </c:ser>
        <c:ser>
          <c:idx val="1"/>
          <c:order val="1"/>
          <c:tx>
            <c:strRef>
              <c:f>D2_IncomeStatmentCommonSize!$A$28</c:f>
              <c:strCache>
                <c:ptCount val="1"/>
                <c:pt idx="0">
                  <c:v>Operating Income (Loss)</c:v>
                </c:pt>
              </c:strCache>
            </c:strRef>
          </c:tx>
          <c:spPr>
            <a:ln w="28575" cap="rnd">
              <a:solidFill>
                <a:schemeClr val="accent2"/>
              </a:solidFill>
              <a:round/>
            </a:ln>
            <a:effectLst/>
          </c:spPr>
          <c:marker>
            <c:symbol val="none"/>
          </c:marker>
          <c:cat>
            <c:numRef>
              <c:f>D2_IncomeStatmentCommonSize!$B$2:$G$2</c:f>
              <c:numCache>
                <c:formatCode>General</c:formatCode>
                <c:ptCount val="6"/>
                <c:pt idx="0">
                  <c:v>2025</c:v>
                </c:pt>
                <c:pt idx="1">
                  <c:v>2024</c:v>
                </c:pt>
                <c:pt idx="2">
                  <c:v>2023</c:v>
                </c:pt>
                <c:pt idx="3">
                  <c:v>2022</c:v>
                </c:pt>
                <c:pt idx="4">
                  <c:v>2021</c:v>
                </c:pt>
                <c:pt idx="5">
                  <c:v>2020</c:v>
                </c:pt>
              </c:numCache>
            </c:numRef>
          </c:cat>
          <c:val>
            <c:numRef>
              <c:f>D2_IncomeStatmentCommonSize!$B$28:$G$28</c:f>
              <c:numCache>
                <c:formatCode>0.00%</c:formatCode>
                <c:ptCount val="6"/>
                <c:pt idx="0">
                  <c:v>-4.8962176998616949E-2</c:v>
                </c:pt>
                <c:pt idx="1">
                  <c:v>2.8212030790520672E-2</c:v>
                </c:pt>
                <c:pt idx="2">
                  <c:v>3.0977745741836985E-2</c:v>
                </c:pt>
                <c:pt idx="3">
                  <c:v>3.9707194240052639E-2</c:v>
                </c:pt>
                <c:pt idx="4">
                  <c:v>3.317417357948086E-2</c:v>
                </c:pt>
                <c:pt idx="5">
                  <c:v>-3.4669351286730009E-2</c:v>
                </c:pt>
              </c:numCache>
            </c:numRef>
          </c:val>
          <c:smooth val="0"/>
          <c:extLst>
            <c:ext xmlns:c16="http://schemas.microsoft.com/office/drawing/2014/chart" uri="{C3380CC4-5D6E-409C-BE32-E72D297353CC}">
              <c16:uniqueId val="{00000001-C3FA-404B-BA96-2749741AA99C}"/>
            </c:ext>
          </c:extLst>
        </c:ser>
        <c:dLbls>
          <c:showLegendKey val="0"/>
          <c:showVal val="0"/>
          <c:showCatName val="0"/>
          <c:showSerName val="0"/>
          <c:showPercent val="0"/>
          <c:showBubbleSize val="0"/>
        </c:dLbls>
        <c:smooth val="0"/>
        <c:axId val="1114360839"/>
        <c:axId val="1114371079"/>
      </c:lineChart>
      <c:catAx>
        <c:axId val="1114360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71079"/>
        <c:crosses val="autoZero"/>
        <c:auto val="1"/>
        <c:lblAlgn val="ctr"/>
        <c:lblOffset val="100"/>
        <c:noMultiLvlLbl val="0"/>
      </c:catAx>
      <c:valAx>
        <c:axId val="1114371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60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Revenue, OpInc, and NI</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lotArea>
      <c:layout/>
      <c:lineChart>
        <c:grouping val="standard"/>
        <c:varyColors val="0"/>
        <c:ser>
          <c:idx val="1"/>
          <c:order val="0"/>
          <c:tx>
            <c:strRef>
              <c:f>D3_Fig_Rev_OpInc_NetInc!$A$5</c:f>
              <c:strCache>
                <c:ptCount val="1"/>
                <c:pt idx="0">
                  <c:v>Revenue</c:v>
                </c:pt>
              </c:strCache>
            </c:strRef>
          </c:tx>
          <c:spPr>
            <a:ln w="28575" cap="rnd">
              <a:solidFill>
                <a:schemeClr val="accent2"/>
              </a:solidFill>
              <a:round/>
            </a:ln>
            <a:effectLst/>
          </c:spPr>
          <c:marker>
            <c:symbol val="none"/>
          </c:marker>
          <c:cat>
            <c:numRef>
              <c:f>D3_Fig_Rev_OpInc_NetInc!$B$4:$G$4</c:f>
              <c:numCache>
                <c:formatCode>General</c:formatCode>
                <c:ptCount val="6"/>
                <c:pt idx="0">
                  <c:v>2020</c:v>
                </c:pt>
                <c:pt idx="1">
                  <c:v>2021</c:v>
                </c:pt>
                <c:pt idx="2">
                  <c:v>2022</c:v>
                </c:pt>
                <c:pt idx="3">
                  <c:v>2023</c:v>
                </c:pt>
                <c:pt idx="4">
                  <c:v>2024</c:v>
                </c:pt>
                <c:pt idx="5">
                  <c:v>2025</c:v>
                </c:pt>
              </c:numCache>
            </c:numRef>
          </c:cat>
          <c:val>
            <c:numRef>
              <c:f>D3_Fig_Rev_OpInc_NetInc!$B$5:$G$5</c:f>
              <c:numCache>
                <c:formatCode>"$"#,##0</c:formatCode>
                <c:ptCount val="6"/>
                <c:pt idx="0">
                  <c:v>127144</c:v>
                </c:pt>
                <c:pt idx="1">
                  <c:v>136341</c:v>
                </c:pt>
                <c:pt idx="2">
                  <c:v>158057</c:v>
                </c:pt>
                <c:pt idx="3">
                  <c:v>176191</c:v>
                </c:pt>
                <c:pt idx="4">
                  <c:v>184992</c:v>
                </c:pt>
                <c:pt idx="5">
                  <c:v>187267</c:v>
                </c:pt>
              </c:numCache>
            </c:numRef>
          </c:val>
          <c:smooth val="0"/>
          <c:extLst>
            <c:ext xmlns:c16="http://schemas.microsoft.com/office/drawing/2014/chart" uri="{C3380CC4-5D6E-409C-BE32-E72D297353CC}">
              <c16:uniqueId val="{00000002-39AD-4296-BDAD-134996BB6502}"/>
            </c:ext>
          </c:extLst>
        </c:ser>
        <c:ser>
          <c:idx val="2"/>
          <c:order val="1"/>
          <c:tx>
            <c:strRef>
              <c:f>D3_Fig_Rev_OpInc_NetInc!$A$6</c:f>
              <c:strCache>
                <c:ptCount val="1"/>
                <c:pt idx="0">
                  <c:v>OpInc</c:v>
                </c:pt>
              </c:strCache>
            </c:strRef>
          </c:tx>
          <c:spPr>
            <a:ln w="28575" cap="rnd">
              <a:solidFill>
                <a:schemeClr val="accent3"/>
              </a:solidFill>
              <a:round/>
            </a:ln>
            <a:effectLst/>
          </c:spPr>
          <c:marker>
            <c:symbol val="none"/>
          </c:marker>
          <c:cat>
            <c:numRef>
              <c:f>D3_Fig_Rev_OpInc_NetInc!$B$4:$G$4</c:f>
              <c:numCache>
                <c:formatCode>General</c:formatCode>
                <c:ptCount val="6"/>
                <c:pt idx="0">
                  <c:v>2020</c:v>
                </c:pt>
                <c:pt idx="1">
                  <c:v>2021</c:v>
                </c:pt>
                <c:pt idx="2">
                  <c:v>2022</c:v>
                </c:pt>
                <c:pt idx="3">
                  <c:v>2023</c:v>
                </c:pt>
                <c:pt idx="4">
                  <c:v>2024</c:v>
                </c:pt>
                <c:pt idx="5">
                  <c:v>2025</c:v>
                </c:pt>
              </c:numCache>
            </c:numRef>
          </c:cat>
          <c:val>
            <c:numRef>
              <c:f>D3_Fig_Rev_OpInc_NetInc!$B$6:$G$6</c:f>
              <c:numCache>
                <c:formatCode>"$"#,##0</c:formatCode>
                <c:ptCount val="6"/>
                <c:pt idx="0">
                  <c:v>-4408</c:v>
                </c:pt>
                <c:pt idx="1">
                  <c:v>4523</c:v>
                </c:pt>
                <c:pt idx="2">
                  <c:v>6276</c:v>
                </c:pt>
                <c:pt idx="3">
                  <c:v>5458</c:v>
                </c:pt>
                <c:pt idx="4">
                  <c:v>5219</c:v>
                </c:pt>
                <c:pt idx="5">
                  <c:v>-9169</c:v>
                </c:pt>
              </c:numCache>
            </c:numRef>
          </c:val>
          <c:smooth val="0"/>
          <c:extLst>
            <c:ext xmlns:c16="http://schemas.microsoft.com/office/drawing/2014/chart" uri="{C3380CC4-5D6E-409C-BE32-E72D297353CC}">
              <c16:uniqueId val="{00000004-39AD-4296-BDAD-134996BB6502}"/>
            </c:ext>
          </c:extLst>
        </c:ser>
        <c:ser>
          <c:idx val="3"/>
          <c:order val="2"/>
          <c:tx>
            <c:strRef>
              <c:f>D3_Fig_Rev_OpInc_NetInc!$A$7</c:f>
              <c:strCache>
                <c:ptCount val="1"/>
                <c:pt idx="0">
                  <c:v>Net Income</c:v>
                </c:pt>
              </c:strCache>
            </c:strRef>
          </c:tx>
          <c:spPr>
            <a:ln w="28575" cap="rnd">
              <a:solidFill>
                <a:schemeClr val="accent4"/>
              </a:solidFill>
              <a:round/>
            </a:ln>
            <a:effectLst/>
          </c:spPr>
          <c:marker>
            <c:symbol val="none"/>
          </c:marker>
          <c:cat>
            <c:numRef>
              <c:f>D3_Fig_Rev_OpInc_NetInc!$B$4:$G$4</c:f>
              <c:numCache>
                <c:formatCode>General</c:formatCode>
                <c:ptCount val="6"/>
                <c:pt idx="0">
                  <c:v>2020</c:v>
                </c:pt>
                <c:pt idx="1">
                  <c:v>2021</c:v>
                </c:pt>
                <c:pt idx="2">
                  <c:v>2022</c:v>
                </c:pt>
                <c:pt idx="3">
                  <c:v>2023</c:v>
                </c:pt>
                <c:pt idx="4">
                  <c:v>2024</c:v>
                </c:pt>
                <c:pt idx="5">
                  <c:v>2025</c:v>
                </c:pt>
              </c:numCache>
            </c:numRef>
          </c:cat>
          <c:val>
            <c:numRef>
              <c:f>D3_Fig_Rev_OpInc_NetInc!$B$7:$G$7</c:f>
              <c:numCache>
                <c:formatCode>"$"#,##0</c:formatCode>
                <c:ptCount val="6"/>
                <c:pt idx="0">
                  <c:v>-1279</c:v>
                </c:pt>
                <c:pt idx="1">
                  <c:v>17937</c:v>
                </c:pt>
                <c:pt idx="2">
                  <c:v>-1981</c:v>
                </c:pt>
                <c:pt idx="3">
                  <c:v>4347</c:v>
                </c:pt>
                <c:pt idx="4">
                  <c:v>5879</c:v>
                </c:pt>
                <c:pt idx="5">
                  <c:v>-8182</c:v>
                </c:pt>
              </c:numCache>
            </c:numRef>
          </c:val>
          <c:smooth val="0"/>
          <c:extLst>
            <c:ext xmlns:c16="http://schemas.microsoft.com/office/drawing/2014/chart" uri="{C3380CC4-5D6E-409C-BE32-E72D297353CC}">
              <c16:uniqueId val="{00000006-39AD-4296-BDAD-134996BB6502}"/>
            </c:ext>
          </c:extLst>
        </c:ser>
        <c:dLbls>
          <c:showLegendKey val="0"/>
          <c:showVal val="0"/>
          <c:showCatName val="0"/>
          <c:showSerName val="0"/>
          <c:showPercent val="0"/>
          <c:showBubbleSize val="0"/>
        </c:dLbls>
        <c:smooth val="0"/>
        <c:axId val="692715015"/>
        <c:axId val="708392967"/>
      </c:lineChart>
      <c:catAx>
        <c:axId val="69271501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708392967"/>
        <c:crosses val="autoZero"/>
        <c:auto val="1"/>
        <c:lblAlgn val="ctr"/>
        <c:lblOffset val="100"/>
        <c:noMultiLvlLbl val="0"/>
      </c:catAx>
      <c:valAx>
        <c:axId val="708392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692715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Ford Statement of Cash Flow</a:t>
            </a:r>
          </a:p>
        </c:rich>
      </c:tx>
      <c:layout>
        <c:manualLayout>
          <c:xMode val="edge"/>
          <c:yMode val="edge"/>
          <c:x val="0.46377925926240182"/>
          <c:y val="1.00728978300180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D2_StatmentofCFsCommonSize!$A$27</c:f>
              <c:strCache>
                <c:ptCount val="1"/>
                <c:pt idx="0">
                  <c:v>Cash Flow from Operating Activities</c:v>
                </c:pt>
              </c:strCache>
            </c:strRef>
          </c:tx>
          <c:spPr>
            <a:ln w="28575" cap="rnd">
              <a:solidFill>
                <a:schemeClr val="accent1"/>
              </a:solidFill>
              <a:round/>
            </a:ln>
            <a:effectLst/>
          </c:spPr>
          <c:marker>
            <c:symbol val="none"/>
          </c:marker>
          <c:cat>
            <c:numRef>
              <c:f>D2_StatmentofCFsCommonSize!$B$2:$G$2</c:f>
              <c:numCache>
                <c:formatCode>General</c:formatCode>
                <c:ptCount val="6"/>
                <c:pt idx="0">
                  <c:v>2025</c:v>
                </c:pt>
                <c:pt idx="1">
                  <c:v>2024</c:v>
                </c:pt>
                <c:pt idx="2">
                  <c:v>2023</c:v>
                </c:pt>
                <c:pt idx="3">
                  <c:v>2022</c:v>
                </c:pt>
                <c:pt idx="4">
                  <c:v>2021</c:v>
                </c:pt>
                <c:pt idx="5">
                  <c:v>2020</c:v>
                </c:pt>
              </c:numCache>
            </c:numRef>
          </c:cat>
          <c:val>
            <c:numRef>
              <c:f>D2_StatmentofCFsCommonSize!$B$27:$G$27</c:f>
              <c:numCache>
                <c:formatCode>0.0%</c:formatCode>
                <c:ptCount val="6"/>
                <c:pt idx="0">
                  <c:v>0.1136452231306103</c:v>
                </c:pt>
                <c:pt idx="1">
                  <c:v>8.3371172807472749E-2</c:v>
                </c:pt>
                <c:pt idx="2">
                  <c:v>8.4669478009659974E-2</c:v>
                </c:pt>
                <c:pt idx="3">
                  <c:v>4.3357775992205347E-2</c:v>
                </c:pt>
                <c:pt idx="4">
                  <c:v>0.11579055456539118</c:v>
                </c:pt>
                <c:pt idx="5">
                  <c:v>0.19087805952306047</c:v>
                </c:pt>
              </c:numCache>
            </c:numRef>
          </c:val>
          <c:smooth val="0"/>
          <c:extLst>
            <c:ext xmlns:c16="http://schemas.microsoft.com/office/drawing/2014/chart" uri="{C3380CC4-5D6E-409C-BE32-E72D297353CC}">
              <c16:uniqueId val="{00000000-9A05-46A5-A109-62E6FF70F452}"/>
            </c:ext>
          </c:extLst>
        </c:ser>
        <c:ser>
          <c:idx val="1"/>
          <c:order val="1"/>
          <c:tx>
            <c:strRef>
              <c:f>D2_StatmentofCFsCommonSize!$A$39</c:f>
              <c:strCache>
                <c:ptCount val="1"/>
                <c:pt idx="0">
                  <c:v>Cash Flow from Investing Activities</c:v>
                </c:pt>
              </c:strCache>
            </c:strRef>
          </c:tx>
          <c:spPr>
            <a:ln w="28575" cap="rnd">
              <a:solidFill>
                <a:schemeClr val="accent2"/>
              </a:solidFill>
              <a:round/>
            </a:ln>
            <a:effectLst/>
          </c:spPr>
          <c:marker>
            <c:symbol val="none"/>
          </c:marker>
          <c:cat>
            <c:numRef>
              <c:f>D2_StatmentofCFsCommonSize!$B$2:$G$2</c:f>
              <c:numCache>
                <c:formatCode>General</c:formatCode>
                <c:ptCount val="6"/>
                <c:pt idx="0">
                  <c:v>2025</c:v>
                </c:pt>
                <c:pt idx="1">
                  <c:v>2024</c:v>
                </c:pt>
                <c:pt idx="2">
                  <c:v>2023</c:v>
                </c:pt>
                <c:pt idx="3">
                  <c:v>2022</c:v>
                </c:pt>
                <c:pt idx="4">
                  <c:v>2021</c:v>
                </c:pt>
                <c:pt idx="5">
                  <c:v>2020</c:v>
                </c:pt>
              </c:numCache>
            </c:numRef>
          </c:cat>
          <c:val>
            <c:numRef>
              <c:f>D2_StatmentofCFsCommonSize!$B$39:$G$39</c:f>
              <c:numCache>
                <c:formatCode>0.0%</c:formatCode>
                <c:ptCount val="6"/>
                <c:pt idx="0">
                  <c:v>-9.6381102917225139E-2</c:v>
                </c:pt>
                <c:pt idx="1">
                  <c:v>-0.13173542639681715</c:v>
                </c:pt>
                <c:pt idx="2">
                  <c:v>-0.10005051336333864</c:v>
                </c:pt>
                <c:pt idx="3">
                  <c:v>-2.750273635460625E-2</c:v>
                </c:pt>
                <c:pt idx="4">
                  <c:v>2.0133342134794376E-2</c:v>
                </c:pt>
                <c:pt idx="5">
                  <c:v>-0.14640879632542628</c:v>
                </c:pt>
              </c:numCache>
            </c:numRef>
          </c:val>
          <c:smooth val="0"/>
          <c:extLst>
            <c:ext xmlns:c16="http://schemas.microsoft.com/office/drawing/2014/chart" uri="{C3380CC4-5D6E-409C-BE32-E72D297353CC}">
              <c16:uniqueId val="{00000001-9A05-46A5-A109-62E6FF70F452}"/>
            </c:ext>
          </c:extLst>
        </c:ser>
        <c:ser>
          <c:idx val="2"/>
          <c:order val="2"/>
          <c:tx>
            <c:strRef>
              <c:f>D2_StatmentofCFsCommonSize!$A$47</c:f>
              <c:strCache>
                <c:ptCount val="1"/>
                <c:pt idx="0">
                  <c:v>Cash Flow from Financing Activities</c:v>
                </c:pt>
              </c:strCache>
            </c:strRef>
          </c:tx>
          <c:spPr>
            <a:ln w="28575" cap="rnd">
              <a:solidFill>
                <a:schemeClr val="accent3"/>
              </a:solidFill>
              <a:round/>
            </a:ln>
            <a:effectLst/>
          </c:spPr>
          <c:marker>
            <c:symbol val="none"/>
          </c:marker>
          <c:cat>
            <c:numRef>
              <c:f>D2_StatmentofCFsCommonSize!$B$2:$G$2</c:f>
              <c:numCache>
                <c:formatCode>General</c:formatCode>
                <c:ptCount val="6"/>
                <c:pt idx="0">
                  <c:v>2025</c:v>
                </c:pt>
                <c:pt idx="1">
                  <c:v>2024</c:v>
                </c:pt>
                <c:pt idx="2">
                  <c:v>2023</c:v>
                </c:pt>
                <c:pt idx="3">
                  <c:v>2022</c:v>
                </c:pt>
                <c:pt idx="4">
                  <c:v>2021</c:v>
                </c:pt>
                <c:pt idx="5">
                  <c:v>2020</c:v>
                </c:pt>
              </c:numCache>
            </c:numRef>
          </c:cat>
          <c:val>
            <c:numRef>
              <c:f>D2_StatmentofCFsCommonSize!$B$47:$G$47</c:f>
              <c:numCache>
                <c:formatCode>0.0%</c:formatCode>
                <c:ptCount val="6"/>
                <c:pt idx="0">
                  <c:v>-1.7114601077605773E-2</c:v>
                </c:pt>
                <c:pt idx="1">
                  <c:v>4.0461209133367933E-2</c:v>
                </c:pt>
                <c:pt idx="2">
                  <c:v>1.4665902344614651E-2</c:v>
                </c:pt>
                <c:pt idx="3">
                  <c:v>1.5886673794896777E-2</c:v>
                </c:pt>
                <c:pt idx="4">
                  <c:v>-0.17234727631453489</c:v>
                </c:pt>
                <c:pt idx="5">
                  <c:v>1.8207701503806708E-2</c:v>
                </c:pt>
              </c:numCache>
            </c:numRef>
          </c:val>
          <c:smooth val="0"/>
          <c:extLst>
            <c:ext xmlns:c16="http://schemas.microsoft.com/office/drawing/2014/chart" uri="{C3380CC4-5D6E-409C-BE32-E72D297353CC}">
              <c16:uniqueId val="{00000002-9A05-46A5-A109-62E6FF70F452}"/>
            </c:ext>
          </c:extLst>
        </c:ser>
        <c:dLbls>
          <c:showLegendKey val="0"/>
          <c:showVal val="0"/>
          <c:showCatName val="0"/>
          <c:showSerName val="0"/>
          <c:showPercent val="0"/>
          <c:showBubbleSize val="0"/>
        </c:dLbls>
        <c:smooth val="0"/>
        <c:axId val="660153351"/>
        <c:axId val="436028935"/>
      </c:lineChart>
      <c:catAx>
        <c:axId val="660153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028935"/>
        <c:crosses val="autoZero"/>
        <c:auto val="1"/>
        <c:lblAlgn val="ctr"/>
        <c:lblOffset val="100"/>
        <c:noMultiLvlLbl val="0"/>
      </c:catAx>
      <c:valAx>
        <c:axId val="4360289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53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xdr:col>
      <xdr:colOff>381000</xdr:colOff>
      <xdr:row>6</xdr:row>
      <xdr:rowOff>152400</xdr:rowOff>
    </xdr:from>
    <xdr:to>
      <xdr:col>7</xdr:col>
      <xdr:colOff>109682</xdr:colOff>
      <xdr:row>13</xdr:row>
      <xdr:rowOff>38100</xdr:rowOff>
    </xdr:to>
    <xdr:pic>
      <xdr:nvPicPr>
        <xdr:cNvPr id="2" name="Picture 1">
          <a:extLst>
            <a:ext uri="{FF2B5EF4-FFF2-40B4-BE49-F238E27FC236}">
              <a16:creationId xmlns:a16="http://schemas.microsoft.com/office/drawing/2014/main" id="{7A01C0EA-5792-F74F-B997-9AFC63616572}"/>
            </a:ext>
          </a:extLst>
        </xdr:cNvPr>
        <xdr:cNvPicPr>
          <a:picLocks noChangeAspect="1"/>
        </xdr:cNvPicPr>
      </xdr:nvPicPr>
      <xdr:blipFill>
        <a:blip xmlns:r="http://schemas.openxmlformats.org/officeDocument/2006/relationships" r:embed="rId1"/>
        <a:stretch>
          <a:fillRect/>
        </a:stretch>
      </xdr:blipFill>
      <xdr:spPr>
        <a:xfrm>
          <a:off x="4775200" y="1447800"/>
          <a:ext cx="3094182" cy="1219200"/>
        </a:xfrm>
        <a:prstGeom prst="rect">
          <a:avLst/>
        </a:prstGeom>
        <a:ln>
          <a:prstDash val="solid"/>
        </a:ln>
      </xdr:spPr>
    </xdr:pic>
    <xdr:clientData/>
  </xdr:twoCellAnchor>
  <xdr:twoCellAnchor editAs="oneCell">
    <xdr:from>
      <xdr:col>10</xdr:col>
      <xdr:colOff>215900</xdr:colOff>
      <xdr:row>5</xdr:row>
      <xdr:rowOff>12700</xdr:rowOff>
    </xdr:from>
    <xdr:to>
      <xdr:col>13</xdr:col>
      <xdr:colOff>355994</xdr:colOff>
      <xdr:row>15</xdr:row>
      <xdr:rowOff>122117</xdr:rowOff>
    </xdr:to>
    <xdr:pic>
      <xdr:nvPicPr>
        <xdr:cNvPr id="3" name="Picture 2">
          <a:extLst>
            <a:ext uri="{FF2B5EF4-FFF2-40B4-BE49-F238E27FC236}">
              <a16:creationId xmlns:a16="http://schemas.microsoft.com/office/drawing/2014/main" id="{6C2FB78B-616E-F34D-B1EA-D9CF279269F9}"/>
            </a:ext>
          </a:extLst>
        </xdr:cNvPr>
        <xdr:cNvPicPr>
          <a:picLocks noChangeAspect="1"/>
        </xdr:cNvPicPr>
      </xdr:nvPicPr>
      <xdr:blipFill>
        <a:blip xmlns:r="http://schemas.openxmlformats.org/officeDocument/2006/relationships" r:embed="rId2"/>
        <a:stretch>
          <a:fillRect/>
        </a:stretch>
      </xdr:blipFill>
      <xdr:spPr>
        <a:xfrm>
          <a:off x="9994900" y="1117600"/>
          <a:ext cx="2159394" cy="2014417"/>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323850</xdr:colOff>
      <xdr:row>3</xdr:row>
      <xdr:rowOff>95250</xdr:rowOff>
    </xdr:from>
    <xdr:to>
      <xdr:col>22</xdr:col>
      <xdr:colOff>285750</xdr:colOff>
      <xdr:row>33</xdr:row>
      <xdr:rowOff>57150</xdr:rowOff>
    </xdr:to>
    <xdr:graphicFrame macro="">
      <xdr:nvGraphicFramePr>
        <xdr:cNvPr id="30" name="Chart 1">
          <a:extLst>
            <a:ext uri="{FF2B5EF4-FFF2-40B4-BE49-F238E27FC236}">
              <a16:creationId xmlns:a16="http://schemas.microsoft.com/office/drawing/2014/main" id="{87C97CC5-9DEF-451E-9AD0-EA197ACA3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171450</xdr:colOff>
      <xdr:row>3</xdr:row>
      <xdr:rowOff>171450</xdr:rowOff>
    </xdr:from>
    <xdr:to>
      <xdr:col>13</xdr:col>
      <xdr:colOff>219075</xdr:colOff>
      <xdr:row>11</xdr:row>
      <xdr:rowOff>171450</xdr:rowOff>
    </xdr:to>
    <xdr:sp macro="" textlink="">
      <xdr:nvSpPr>
        <xdr:cNvPr id="6" name="TextBox 1">
          <a:extLst>
            <a:ext uri="{FF2B5EF4-FFF2-40B4-BE49-F238E27FC236}">
              <a16:creationId xmlns:a16="http://schemas.microsoft.com/office/drawing/2014/main" id="{256A5215-B142-290A-E6EE-69B467987265}"/>
            </a:ext>
          </a:extLst>
        </xdr:cNvPr>
        <xdr:cNvSpPr txBox="1"/>
      </xdr:nvSpPr>
      <xdr:spPr>
        <a:xfrm>
          <a:off x="10106025" y="742950"/>
          <a:ext cx="3000375" cy="15240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These FCF Values are all over the place. Ford is weird- There is Ford automative, and then there is Ford financial services, which can skew the FCF valutions. When trying to compare it to GM, I will take the Financial services out of it, by adjusted current assests and CL, and just focus on the automative company</a:t>
          </a:r>
        </a:p>
      </xdr:txBody>
    </xdr:sp>
    <xdr:clientData/>
  </xdr:twoCellAnchor>
  <xdr:twoCellAnchor>
    <xdr:from>
      <xdr:col>8</xdr:col>
      <xdr:colOff>85725</xdr:colOff>
      <xdr:row>21</xdr:row>
      <xdr:rowOff>104775</xdr:rowOff>
    </xdr:from>
    <xdr:to>
      <xdr:col>12</xdr:col>
      <xdr:colOff>304800</xdr:colOff>
      <xdr:row>31</xdr:row>
      <xdr:rowOff>180975</xdr:rowOff>
    </xdr:to>
    <xdr:sp macro="" textlink="">
      <xdr:nvSpPr>
        <xdr:cNvPr id="14" name="TextBox 2">
          <a:extLst>
            <a:ext uri="{FF2B5EF4-FFF2-40B4-BE49-F238E27FC236}">
              <a16:creationId xmlns:a16="http://schemas.microsoft.com/office/drawing/2014/main" id="{1A67571C-749F-C3F8-40B5-AF5EB528DEDE}"/>
            </a:ext>
            <a:ext uri="{147F2762-F138-4A5C-976F-8EAC2B608ADB}">
              <a16:predDERef xmlns:a16="http://schemas.microsoft.com/office/drawing/2014/main" pred="{256A5215-B142-290A-E6EE-69B467987265}"/>
            </a:ext>
          </a:extLst>
        </xdr:cNvPr>
        <xdr:cNvSpPr txBox="1"/>
      </xdr:nvSpPr>
      <xdr:spPr>
        <a:xfrm>
          <a:off x="10020300" y="4105275"/>
          <a:ext cx="2581275" cy="1981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These FCF values make more sense now that I excluded the Ford Credit division. Net working operating Capital is in a more reasonable range. There is the 2021 FCF value of -3,400, which looks off but they were hit hard by covid and semiconducter shortage in 2021. The FCF number for 2025 of 1,300 is on the low side, but they were hit hard with restructing costs and significant EV losses.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438150</xdr:colOff>
      <xdr:row>15</xdr:row>
      <xdr:rowOff>76200</xdr:rowOff>
    </xdr:to>
    <xdr:graphicFrame macro="">
      <xdr:nvGraphicFramePr>
        <xdr:cNvPr id="2" name="Chart 1">
          <a:extLst>
            <a:ext uri="{FF2B5EF4-FFF2-40B4-BE49-F238E27FC236}">
              <a16:creationId xmlns:a16="http://schemas.microsoft.com/office/drawing/2014/main" id="{6480FF60-D778-465D-A494-078296F56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438150</xdr:colOff>
      <xdr:row>15</xdr:row>
      <xdr:rowOff>76200</xdr:rowOff>
    </xdr:to>
    <xdr:graphicFrame macro="">
      <xdr:nvGraphicFramePr>
        <xdr:cNvPr id="3" name="Chart 2">
          <a:extLst>
            <a:ext uri="{FF2B5EF4-FFF2-40B4-BE49-F238E27FC236}">
              <a16:creationId xmlns:a16="http://schemas.microsoft.com/office/drawing/2014/main" id="{4D4E393A-5131-4AD4-A8ED-F5515D09B7A4}"/>
            </a:ext>
            <a:ext uri="{147F2762-F138-4A5C-976F-8EAC2B608ADB}">
              <a16:predDERef xmlns:a16="http://schemas.microsoft.com/office/drawing/2014/main" pred="{6480FF60-D778-465D-A494-078296F56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xdr:row>
      <xdr:rowOff>0</xdr:rowOff>
    </xdr:from>
    <xdr:to>
      <xdr:col>25</xdr:col>
      <xdr:colOff>438150</xdr:colOff>
      <xdr:row>15</xdr:row>
      <xdr:rowOff>76200</xdr:rowOff>
    </xdr:to>
    <xdr:graphicFrame macro="">
      <xdr:nvGraphicFramePr>
        <xdr:cNvPr id="4" name="Chart 3">
          <a:extLst>
            <a:ext uri="{FF2B5EF4-FFF2-40B4-BE49-F238E27FC236}">
              <a16:creationId xmlns:a16="http://schemas.microsoft.com/office/drawing/2014/main" id="{DFC2CEDC-E6AA-4FCB-A7E0-7EB521E1EBD8}"/>
            </a:ext>
            <a:ext uri="{147F2762-F138-4A5C-976F-8EAC2B608ADB}">
              <a16:predDERef xmlns:a16="http://schemas.microsoft.com/office/drawing/2014/main" pred="{4D4E393A-5131-4AD4-A8ED-F5515D09B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0</xdr:colOff>
      <xdr:row>1</xdr:row>
      <xdr:rowOff>0</xdr:rowOff>
    </xdr:from>
    <xdr:to>
      <xdr:col>34</xdr:col>
      <xdr:colOff>438150</xdr:colOff>
      <xdr:row>15</xdr:row>
      <xdr:rowOff>76200</xdr:rowOff>
    </xdr:to>
    <xdr:graphicFrame macro="">
      <xdr:nvGraphicFramePr>
        <xdr:cNvPr id="8" name="Chart 7">
          <a:extLst>
            <a:ext uri="{FF2B5EF4-FFF2-40B4-BE49-F238E27FC236}">
              <a16:creationId xmlns:a16="http://schemas.microsoft.com/office/drawing/2014/main" id="{69B06280-A1E2-4A43-BBDD-6D44A336F538}"/>
            </a:ext>
            <a:ext uri="{147F2762-F138-4A5C-976F-8EAC2B608ADB}">
              <a16:predDERef xmlns:a16="http://schemas.microsoft.com/office/drawing/2014/main" pred="{DFC2CEDC-E6AA-4FCB-A7E0-7EB521E1E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0</xdr:colOff>
      <xdr:row>1</xdr:row>
      <xdr:rowOff>0</xdr:rowOff>
    </xdr:from>
    <xdr:to>
      <xdr:col>43</xdr:col>
      <xdr:colOff>438150</xdr:colOff>
      <xdr:row>15</xdr:row>
      <xdr:rowOff>76200</xdr:rowOff>
    </xdr:to>
    <xdr:graphicFrame macro="">
      <xdr:nvGraphicFramePr>
        <xdr:cNvPr id="5" name="Chart 4">
          <a:extLst>
            <a:ext uri="{FF2B5EF4-FFF2-40B4-BE49-F238E27FC236}">
              <a16:creationId xmlns:a16="http://schemas.microsoft.com/office/drawing/2014/main" id="{9C64F00B-A09D-4E51-B25A-55CAF9116AA4}"/>
            </a:ext>
            <a:ext uri="{147F2762-F138-4A5C-976F-8EAC2B608ADB}">
              <a16:predDERef xmlns:a16="http://schemas.microsoft.com/office/drawing/2014/main" pred="{69B06280-A1E2-4A43-BBDD-6D44A336F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xdr:row>
      <xdr:rowOff>0</xdr:rowOff>
    </xdr:from>
    <xdr:to>
      <xdr:col>7</xdr:col>
      <xdr:colOff>438150</xdr:colOff>
      <xdr:row>31</xdr:row>
      <xdr:rowOff>76200</xdr:rowOff>
    </xdr:to>
    <xdr:graphicFrame macro="">
      <xdr:nvGraphicFramePr>
        <xdr:cNvPr id="7" name="Chart 6">
          <a:extLst>
            <a:ext uri="{FF2B5EF4-FFF2-40B4-BE49-F238E27FC236}">
              <a16:creationId xmlns:a16="http://schemas.microsoft.com/office/drawing/2014/main" id="{DE96445F-A889-4523-8968-9C20724C14FC}"/>
            </a:ext>
            <a:ext uri="{147F2762-F138-4A5C-976F-8EAC2B608ADB}">
              <a16:predDERef xmlns:a16="http://schemas.microsoft.com/office/drawing/2014/main" pred="{9C64F00B-A09D-4E51-B25A-55CAF9116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17</xdr:row>
      <xdr:rowOff>0</xdr:rowOff>
    </xdr:from>
    <xdr:to>
      <xdr:col>16</xdr:col>
      <xdr:colOff>438150</xdr:colOff>
      <xdr:row>31</xdr:row>
      <xdr:rowOff>76200</xdr:rowOff>
    </xdr:to>
    <xdr:graphicFrame macro="">
      <xdr:nvGraphicFramePr>
        <xdr:cNvPr id="9" name="Chart 8">
          <a:extLst>
            <a:ext uri="{FF2B5EF4-FFF2-40B4-BE49-F238E27FC236}">
              <a16:creationId xmlns:a16="http://schemas.microsoft.com/office/drawing/2014/main" id="{1EBA4623-A488-4990-890C-D024E65FC73B}"/>
            </a:ext>
            <a:ext uri="{147F2762-F138-4A5C-976F-8EAC2B608ADB}">
              <a16:predDERef xmlns:a16="http://schemas.microsoft.com/office/drawing/2014/main" pred="{DE96445F-A889-4523-8968-9C20724C1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0</xdr:colOff>
      <xdr:row>17</xdr:row>
      <xdr:rowOff>0</xdr:rowOff>
    </xdr:from>
    <xdr:to>
      <xdr:col>25</xdr:col>
      <xdr:colOff>438150</xdr:colOff>
      <xdr:row>31</xdr:row>
      <xdr:rowOff>76200</xdr:rowOff>
    </xdr:to>
    <xdr:graphicFrame macro="">
      <xdr:nvGraphicFramePr>
        <xdr:cNvPr id="11" name="Chart 10">
          <a:extLst>
            <a:ext uri="{FF2B5EF4-FFF2-40B4-BE49-F238E27FC236}">
              <a16:creationId xmlns:a16="http://schemas.microsoft.com/office/drawing/2014/main" id="{277919A9-7A04-46DF-B9F8-1E343AB252D8}"/>
            </a:ext>
            <a:ext uri="{147F2762-F138-4A5C-976F-8EAC2B608ADB}">
              <a16:predDERef xmlns:a16="http://schemas.microsoft.com/office/drawing/2014/main" pred="{1EBA4623-A488-4990-890C-D024E65FC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219075</xdr:colOff>
      <xdr:row>13</xdr:row>
      <xdr:rowOff>19050</xdr:rowOff>
    </xdr:from>
    <xdr:to>
      <xdr:col>17</xdr:col>
      <xdr:colOff>180975</xdr:colOff>
      <xdr:row>35</xdr:row>
      <xdr:rowOff>142875</xdr:rowOff>
    </xdr:to>
    <xdr:graphicFrame macro="">
      <xdr:nvGraphicFramePr>
        <xdr:cNvPr id="9" name="Chart 1">
          <a:extLst>
            <a:ext uri="{FF2B5EF4-FFF2-40B4-BE49-F238E27FC236}">
              <a16:creationId xmlns:a16="http://schemas.microsoft.com/office/drawing/2014/main" id="{8EA453A2-9F02-4BB8-976A-6330332E9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7</xdr:row>
      <xdr:rowOff>161925</xdr:rowOff>
    </xdr:from>
    <xdr:to>
      <xdr:col>5</xdr:col>
      <xdr:colOff>619125</xdr:colOff>
      <xdr:row>22</xdr:row>
      <xdr:rowOff>47625</xdr:rowOff>
    </xdr:to>
    <xdr:graphicFrame macro="">
      <xdr:nvGraphicFramePr>
        <xdr:cNvPr id="3" name="Chart 2">
          <a:extLst>
            <a:ext uri="{FF2B5EF4-FFF2-40B4-BE49-F238E27FC236}">
              <a16:creationId xmlns:a16="http://schemas.microsoft.com/office/drawing/2014/main" id="{E41404C7-D131-9ADC-E52E-1AE6DFAA8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123825</xdr:colOff>
      <xdr:row>8</xdr:row>
      <xdr:rowOff>19050</xdr:rowOff>
    </xdr:from>
    <xdr:to>
      <xdr:col>18</xdr:col>
      <xdr:colOff>28575</xdr:colOff>
      <xdr:row>35</xdr:row>
      <xdr:rowOff>142875</xdr:rowOff>
    </xdr:to>
    <xdr:graphicFrame macro="">
      <xdr:nvGraphicFramePr>
        <xdr:cNvPr id="2" name="Chart 1">
          <a:extLst>
            <a:ext uri="{FF2B5EF4-FFF2-40B4-BE49-F238E27FC236}">
              <a16:creationId xmlns:a16="http://schemas.microsoft.com/office/drawing/2014/main" id="{D158E271-DF88-4F64-A5FC-F2307E859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orb1456@uncw.edu" TargetMode="External"/><Relationship Id="rId2" Type="http://schemas.openxmlformats.org/officeDocument/2006/relationships/hyperlink" Target="mailto:jjb3229@uncw.edu" TargetMode="External"/><Relationship Id="rId1" Type="http://schemas.openxmlformats.org/officeDocument/2006/relationships/hyperlink" Target="mailto:jaa9436@uncw.edu" TargetMode="External"/><Relationship Id="rId6" Type="http://schemas.openxmlformats.org/officeDocument/2006/relationships/drawing" Target="../drawings/drawing1.xml"/><Relationship Id="rId5" Type="http://schemas.openxmlformats.org/officeDocument/2006/relationships/hyperlink" Target="mailto:cpw9627@uncw.edu" TargetMode="External"/><Relationship Id="rId4" Type="http://schemas.openxmlformats.org/officeDocument/2006/relationships/hyperlink" Target="mailto:tlc3246@uncw.edu"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workbookViewId="0">
      <selection activeCell="B9" sqref="B9"/>
    </sheetView>
  </sheetViews>
  <sheetFormatPr defaultColWidth="8.85546875" defaultRowHeight="15"/>
  <cols>
    <col min="1" max="1" width="24.42578125" bestFit="1" customWidth="1"/>
    <col min="2" max="2" width="33.140625" bestFit="1" customWidth="1"/>
  </cols>
  <sheetData>
    <row r="1" spans="1:14" ht="18.95" customHeight="1">
      <c r="A1" s="31" t="s">
        <v>0</v>
      </c>
      <c r="B1" s="31">
        <v>1</v>
      </c>
    </row>
    <row r="2" spans="1:14" ht="18.95" customHeight="1">
      <c r="A2" s="31"/>
      <c r="B2" s="31"/>
      <c r="D2" s="31" t="s">
        <v>1</v>
      </c>
      <c r="E2" s="31"/>
      <c r="F2" s="31"/>
      <c r="G2" s="31"/>
      <c r="H2" s="31"/>
      <c r="I2" s="31"/>
      <c r="J2" s="31"/>
      <c r="K2" s="31" t="s">
        <v>2</v>
      </c>
      <c r="L2" s="31"/>
      <c r="M2" s="31"/>
      <c r="N2" s="31"/>
    </row>
    <row r="3" spans="1:14" ht="18.95" customHeight="1">
      <c r="A3" s="32" t="s">
        <v>3</v>
      </c>
      <c r="B3" s="32" t="s">
        <v>4</v>
      </c>
    </row>
    <row r="4" spans="1:14">
      <c r="A4" t="s">
        <v>5</v>
      </c>
      <c r="B4" s="40" t="s">
        <v>6</v>
      </c>
    </row>
    <row r="5" spans="1:14">
      <c r="A5" t="s">
        <v>7</v>
      </c>
      <c r="B5" s="40" t="s">
        <v>8</v>
      </c>
    </row>
    <row r="6" spans="1:14">
      <c r="A6" t="s">
        <v>9</v>
      </c>
      <c r="B6" s="40" t="s">
        <v>10</v>
      </c>
    </row>
    <row r="7" spans="1:14">
      <c r="A7" t="s">
        <v>11</v>
      </c>
      <c r="B7" s="40" t="s">
        <v>12</v>
      </c>
    </row>
    <row r="8" spans="1:14">
      <c r="A8" t="s">
        <v>13</v>
      </c>
      <c r="B8" s="40" t="s">
        <v>14</v>
      </c>
    </row>
  </sheetData>
  <hyperlinks>
    <hyperlink ref="B4" r:id="rId1" xr:uid="{D68DFD83-C80B-4E37-BF27-262B53A32247}"/>
    <hyperlink ref="B5" r:id="rId2" xr:uid="{C2519F81-AEC1-4124-86C1-337A696437EF}"/>
    <hyperlink ref="B6" r:id="rId3" xr:uid="{7BE3D3D3-EBEB-4F10-B847-7185E17B74F0}"/>
    <hyperlink ref="B7" r:id="rId4" xr:uid="{426FA0CD-D03E-4C6C-9867-D6DB69F3FAF5}"/>
    <hyperlink ref="B8" r:id="rId5" xr:uid="{8D2AC166-DB2E-43C3-A075-728948F8D771}"/>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N44"/>
  <sheetViews>
    <sheetView workbookViewId="0">
      <selection activeCell="C42" sqref="C42"/>
    </sheetView>
  </sheetViews>
  <sheetFormatPr defaultColWidth="8.85546875" defaultRowHeight="15"/>
  <cols>
    <col min="1" max="1" width="38.85546875" customWidth="1"/>
    <col min="2" max="8" width="13" customWidth="1"/>
    <col min="9" max="9" width="9.42578125" customWidth="1"/>
    <col min="10" max="14" width="9.140625" style="12" customWidth="1"/>
  </cols>
  <sheetData>
    <row r="1" spans="1:14">
      <c r="A1" s="1" t="s">
        <v>15</v>
      </c>
      <c r="B1" s="1" t="s">
        <v>16</v>
      </c>
      <c r="C1" s="1" t="s">
        <v>17</v>
      </c>
      <c r="D1" s="1" t="s">
        <v>18</v>
      </c>
      <c r="E1" s="1" t="s">
        <v>19</v>
      </c>
      <c r="F1" s="1" t="s">
        <v>20</v>
      </c>
      <c r="G1" s="1" t="s">
        <v>21</v>
      </c>
      <c r="H1" s="1"/>
      <c r="J1" s="11" t="s">
        <v>22</v>
      </c>
      <c r="K1" s="11" t="s">
        <v>23</v>
      </c>
      <c r="L1" s="11" t="s">
        <v>24</v>
      </c>
      <c r="M1" s="11" t="s">
        <v>25</v>
      </c>
      <c r="N1" s="11" t="s">
        <v>26</v>
      </c>
    </row>
    <row r="2" spans="1:14">
      <c r="B2" s="9">
        <v>2025</v>
      </c>
      <c r="C2" s="9">
        <v>2024</v>
      </c>
      <c r="D2" s="9">
        <v>2023</v>
      </c>
      <c r="E2" s="9">
        <v>2022</v>
      </c>
      <c r="F2" s="9">
        <v>2021</v>
      </c>
      <c r="G2" s="9">
        <v>2020</v>
      </c>
    </row>
    <row r="3" spans="1:14" ht="15.95">
      <c r="A3" s="28" t="s">
        <v>27</v>
      </c>
    </row>
    <row r="4" spans="1:14" ht="15.95">
      <c r="A4" s="28" t="s">
        <v>28</v>
      </c>
      <c r="B4" s="4">
        <v>23356</v>
      </c>
      <c r="C4" s="4">
        <v>22935</v>
      </c>
      <c r="D4">
        <v>24862</v>
      </c>
      <c r="E4">
        <v>25134</v>
      </c>
      <c r="F4">
        <v>20540</v>
      </c>
      <c r="G4">
        <v>25243</v>
      </c>
      <c r="J4">
        <f t="shared" ref="J4:J11" si="0">AVERAGE(B4:G4)</f>
        <v>23678.333333333332</v>
      </c>
      <c r="K4">
        <f t="shared" ref="K4:K11" si="1">STDEV(B4:G4)</f>
        <v>1815.1470096569772</v>
      </c>
      <c r="L4">
        <f t="shared" ref="L4:L11" si="2">MIN(B4:G4)</f>
        <v>20540</v>
      </c>
      <c r="M4">
        <f t="shared" ref="M4:M11" si="3">MEDIAN(B4:G4)</f>
        <v>24109</v>
      </c>
      <c r="N4">
        <f t="shared" ref="N4:N11" si="4">MAX(B4:G4)</f>
        <v>25243</v>
      </c>
    </row>
    <row r="5" spans="1:14" ht="15.95">
      <c r="A5" s="3" t="s">
        <v>29</v>
      </c>
      <c r="B5" s="6">
        <v>15131</v>
      </c>
      <c r="C5" s="6">
        <v>15413</v>
      </c>
      <c r="D5">
        <v>15309</v>
      </c>
      <c r="E5">
        <v>18936</v>
      </c>
      <c r="F5">
        <v>29053</v>
      </c>
      <c r="G5">
        <v>24718</v>
      </c>
      <c r="J5">
        <f t="shared" si="0"/>
        <v>19760</v>
      </c>
      <c r="K5">
        <f t="shared" si="1"/>
        <v>5860.9903599988966</v>
      </c>
      <c r="L5">
        <f t="shared" si="2"/>
        <v>15131</v>
      </c>
      <c r="M5">
        <f t="shared" si="3"/>
        <v>17174.5</v>
      </c>
      <c r="N5">
        <f t="shared" si="4"/>
        <v>29053</v>
      </c>
    </row>
    <row r="6" spans="1:14" ht="15.95">
      <c r="A6" s="2" t="s">
        <v>30</v>
      </c>
      <c r="B6" s="5">
        <v>15398</v>
      </c>
      <c r="C6" s="5">
        <v>14723</v>
      </c>
      <c r="D6">
        <v>15601</v>
      </c>
      <c r="E6">
        <v>15729</v>
      </c>
      <c r="F6">
        <v>11370</v>
      </c>
      <c r="G6">
        <v>9993</v>
      </c>
      <c r="J6">
        <f t="shared" si="0"/>
        <v>13802.333333333334</v>
      </c>
      <c r="K6">
        <f t="shared" si="1"/>
        <v>2480.6568216233882</v>
      </c>
      <c r="L6">
        <f t="shared" si="2"/>
        <v>9993</v>
      </c>
      <c r="M6">
        <f t="shared" si="3"/>
        <v>15060.5</v>
      </c>
      <c r="N6">
        <f t="shared" si="4"/>
        <v>15729</v>
      </c>
    </row>
    <row r="7" spans="1:14" ht="15.95">
      <c r="A7" s="2" t="s">
        <v>31</v>
      </c>
      <c r="B7" s="5">
        <v>15285</v>
      </c>
      <c r="C7" s="5">
        <v>14951</v>
      </c>
      <c r="D7">
        <v>15651</v>
      </c>
      <c r="E7">
        <v>14080</v>
      </c>
      <c r="F7">
        <v>12065</v>
      </c>
      <c r="G7">
        <v>10808</v>
      </c>
      <c r="J7">
        <f t="shared" si="0"/>
        <v>13806.666666666666</v>
      </c>
      <c r="K7">
        <f t="shared" si="1"/>
        <v>1949.1869758098248</v>
      </c>
      <c r="L7">
        <f t="shared" si="2"/>
        <v>10808</v>
      </c>
      <c r="M7">
        <f t="shared" si="3"/>
        <v>14515.5</v>
      </c>
      <c r="N7">
        <f t="shared" si="4"/>
        <v>15651</v>
      </c>
    </row>
    <row r="8" spans="1:14" ht="15.95">
      <c r="A8" s="2" t="s">
        <v>32</v>
      </c>
      <c r="B8" s="5">
        <v>49130</v>
      </c>
      <c r="C8" s="5">
        <v>51850</v>
      </c>
      <c r="D8">
        <v>46425</v>
      </c>
      <c r="E8">
        <v>38720</v>
      </c>
      <c r="F8">
        <v>32543</v>
      </c>
      <c r="G8">
        <v>42401</v>
      </c>
      <c r="J8">
        <f t="shared" si="0"/>
        <v>43511.5</v>
      </c>
      <c r="K8">
        <f t="shared" si="1"/>
        <v>7128.6223283324525</v>
      </c>
      <c r="L8">
        <f t="shared" si="2"/>
        <v>32543</v>
      </c>
      <c r="M8">
        <f t="shared" si="3"/>
        <v>44413</v>
      </c>
      <c r="N8">
        <f t="shared" si="4"/>
        <v>51850</v>
      </c>
    </row>
    <row r="9" spans="1:14" ht="15.95">
      <c r="A9" s="2" t="s">
        <v>33</v>
      </c>
      <c r="B9" s="5"/>
      <c r="C9" s="5"/>
      <c r="F9">
        <v>9</v>
      </c>
      <c r="J9">
        <f t="shared" si="0"/>
        <v>9</v>
      </c>
      <c r="K9" t="e">
        <f t="shared" si="1"/>
        <v>#DIV/0!</v>
      </c>
      <c r="L9">
        <f t="shared" si="2"/>
        <v>9</v>
      </c>
      <c r="M9">
        <f t="shared" si="3"/>
        <v>9</v>
      </c>
      <c r="N9">
        <f t="shared" si="4"/>
        <v>9</v>
      </c>
    </row>
    <row r="10" spans="1:14" ht="15.95">
      <c r="A10" s="2" t="s">
        <v>34</v>
      </c>
      <c r="B10" s="5">
        <v>5187</v>
      </c>
      <c r="C10" s="5">
        <v>4602</v>
      </c>
      <c r="D10">
        <v>3633</v>
      </c>
      <c r="E10">
        <v>3877</v>
      </c>
      <c r="F10">
        <v>3416</v>
      </c>
      <c r="G10">
        <v>3581</v>
      </c>
      <c r="J10">
        <f t="shared" si="0"/>
        <v>4049.3333333333335</v>
      </c>
      <c r="K10">
        <f t="shared" si="1"/>
        <v>696.16166704772365</v>
      </c>
      <c r="L10">
        <f t="shared" si="2"/>
        <v>3416</v>
      </c>
      <c r="M10">
        <f t="shared" si="3"/>
        <v>3755</v>
      </c>
      <c r="N10">
        <f t="shared" si="4"/>
        <v>5187</v>
      </c>
    </row>
    <row r="11" spans="1:14" ht="15.95">
      <c r="A11" s="2" t="s">
        <v>35</v>
      </c>
      <c r="B11" s="5">
        <v>123487</v>
      </c>
      <c r="C11" s="5">
        <v>124474</v>
      </c>
      <c r="D11">
        <v>121481</v>
      </c>
      <c r="E11">
        <v>116476</v>
      </c>
      <c r="F11">
        <v>108996</v>
      </c>
      <c r="G11">
        <v>116744</v>
      </c>
      <c r="J11">
        <f t="shared" si="0"/>
        <v>118609.66666666667</v>
      </c>
      <c r="K11">
        <f t="shared" si="1"/>
        <v>5777.1822428123787</v>
      </c>
      <c r="L11">
        <f t="shared" si="2"/>
        <v>108996</v>
      </c>
      <c r="M11">
        <f t="shared" si="3"/>
        <v>119112.5</v>
      </c>
      <c r="N11">
        <f t="shared" si="4"/>
        <v>124474</v>
      </c>
    </row>
    <row r="12" spans="1:14" ht="15.95">
      <c r="A12" s="2" t="s">
        <v>36</v>
      </c>
      <c r="B12" s="5"/>
      <c r="C12" s="5"/>
    </row>
    <row r="13" spans="1:14" ht="15.95">
      <c r="A13" s="2" t="s">
        <v>37</v>
      </c>
      <c r="B13" s="5">
        <v>37288</v>
      </c>
      <c r="C13" s="5">
        <v>41928</v>
      </c>
      <c r="D13">
        <v>40821</v>
      </c>
      <c r="E13">
        <v>37265</v>
      </c>
      <c r="F13">
        <v>37139</v>
      </c>
      <c r="G13">
        <v>37083</v>
      </c>
      <c r="J13">
        <f t="shared" ref="J13:J19" si="5">AVERAGE(B13:G13)</f>
        <v>38587.333333333336</v>
      </c>
      <c r="K13">
        <f t="shared" ref="K13:K19" si="6">STDEV(B13:G13)</f>
        <v>2188.4625349013099</v>
      </c>
      <c r="L13">
        <f t="shared" ref="L13:L19" si="7">MIN(B13:G13)</f>
        <v>37083</v>
      </c>
      <c r="M13">
        <f t="shared" ref="M13:M19" si="8">MEDIAN(B13:G13)</f>
        <v>37276.5</v>
      </c>
      <c r="N13">
        <f t="shared" ref="N13:N19" si="9">MAX(B13:G13)</f>
        <v>41928</v>
      </c>
    </row>
    <row r="14" spans="1:14" ht="15.95">
      <c r="A14" s="2" t="s">
        <v>38</v>
      </c>
      <c r="B14" s="5">
        <v>28540</v>
      </c>
      <c r="C14" s="5">
        <v>22947</v>
      </c>
      <c r="D14">
        <v>21384</v>
      </c>
      <c r="E14">
        <v>22772</v>
      </c>
      <c r="F14">
        <v>26361</v>
      </c>
      <c r="G14">
        <v>27951</v>
      </c>
      <c r="J14">
        <f t="shared" si="5"/>
        <v>24992.5</v>
      </c>
      <c r="K14">
        <f t="shared" si="6"/>
        <v>3011.5190020984423</v>
      </c>
      <c r="L14">
        <f t="shared" si="7"/>
        <v>21384</v>
      </c>
      <c r="M14">
        <f t="shared" si="8"/>
        <v>24654</v>
      </c>
      <c r="N14">
        <f t="shared" si="9"/>
        <v>28540</v>
      </c>
    </row>
    <row r="15" spans="1:14" ht="15.95">
      <c r="A15" s="2" t="s">
        <v>39</v>
      </c>
      <c r="B15" s="5">
        <v>2753</v>
      </c>
      <c r="C15" s="5">
        <v>6821</v>
      </c>
      <c r="D15">
        <v>5548</v>
      </c>
      <c r="E15">
        <v>2798</v>
      </c>
      <c r="F15">
        <v>4545</v>
      </c>
      <c r="G15">
        <v>4901</v>
      </c>
      <c r="J15">
        <f t="shared" si="5"/>
        <v>4561</v>
      </c>
      <c r="K15">
        <f t="shared" si="6"/>
        <v>1585.853587188931</v>
      </c>
      <c r="L15">
        <f t="shared" si="7"/>
        <v>2753</v>
      </c>
      <c r="M15">
        <f t="shared" si="8"/>
        <v>4723</v>
      </c>
      <c r="N15">
        <f t="shared" si="9"/>
        <v>6821</v>
      </c>
    </row>
    <row r="16" spans="1:14" ht="15.95">
      <c r="A16" s="2" t="s">
        <v>40</v>
      </c>
      <c r="B16" s="5">
        <v>21953</v>
      </c>
      <c r="C16" s="5">
        <v>16375</v>
      </c>
      <c r="D16">
        <v>16985</v>
      </c>
      <c r="E16">
        <v>15552</v>
      </c>
      <c r="F16">
        <v>13796</v>
      </c>
      <c r="G16">
        <v>12423</v>
      </c>
      <c r="J16">
        <f t="shared" si="5"/>
        <v>16180.666666666666</v>
      </c>
      <c r="K16">
        <f t="shared" si="6"/>
        <v>3292.6118912903553</v>
      </c>
      <c r="L16">
        <f t="shared" si="7"/>
        <v>12423</v>
      </c>
      <c r="M16">
        <f t="shared" si="8"/>
        <v>15963.5</v>
      </c>
      <c r="N16">
        <f t="shared" si="9"/>
        <v>21953</v>
      </c>
    </row>
    <row r="17" spans="1:14" ht="15.95">
      <c r="A17" s="2" t="s">
        <v>41</v>
      </c>
      <c r="B17" s="5">
        <v>61449</v>
      </c>
      <c r="C17" s="5">
        <v>59786</v>
      </c>
      <c r="D17">
        <v>55650</v>
      </c>
      <c r="E17">
        <v>49903</v>
      </c>
      <c r="F17">
        <v>51256</v>
      </c>
      <c r="G17">
        <v>55277</v>
      </c>
      <c r="J17">
        <f t="shared" si="5"/>
        <v>55553.5</v>
      </c>
      <c r="K17">
        <f t="shared" si="6"/>
        <v>4542.1007804759238</v>
      </c>
      <c r="L17">
        <f t="shared" si="7"/>
        <v>49903</v>
      </c>
      <c r="M17">
        <f t="shared" si="8"/>
        <v>55463.5</v>
      </c>
      <c r="N17">
        <f t="shared" si="9"/>
        <v>61449</v>
      </c>
    </row>
    <row r="18" spans="1:14" ht="15.95">
      <c r="A18" s="2" t="s">
        <v>42</v>
      </c>
      <c r="B18" s="5">
        <v>13690</v>
      </c>
      <c r="C18" s="5">
        <v>12865</v>
      </c>
      <c r="D18">
        <v>11441</v>
      </c>
      <c r="E18">
        <v>11118</v>
      </c>
      <c r="F18">
        <v>14942</v>
      </c>
      <c r="G18">
        <v>12882</v>
      </c>
      <c r="J18">
        <f t="shared" si="5"/>
        <v>12823</v>
      </c>
      <c r="K18">
        <f t="shared" si="6"/>
        <v>1418.7349294353755</v>
      </c>
      <c r="L18">
        <f t="shared" si="7"/>
        <v>11118</v>
      </c>
      <c r="M18">
        <f t="shared" si="8"/>
        <v>12873.5</v>
      </c>
      <c r="N18">
        <f t="shared" si="9"/>
        <v>14942</v>
      </c>
    </row>
    <row r="19" spans="1:14" ht="15.95">
      <c r="A19" s="2" t="s">
        <v>43</v>
      </c>
      <c r="B19" s="4">
        <v>289160</v>
      </c>
      <c r="C19" s="4">
        <v>285196</v>
      </c>
      <c r="D19">
        <v>273310</v>
      </c>
      <c r="E19">
        <v>255884</v>
      </c>
      <c r="F19">
        <v>257035</v>
      </c>
      <c r="G19">
        <v>267261</v>
      </c>
      <c r="J19">
        <f t="shared" si="5"/>
        <v>271307.66666666669</v>
      </c>
      <c r="K19">
        <f t="shared" si="6"/>
        <v>13954.031427034506</v>
      </c>
      <c r="L19">
        <f t="shared" si="7"/>
        <v>255884</v>
      </c>
      <c r="M19">
        <f t="shared" si="8"/>
        <v>270285.5</v>
      </c>
      <c r="N19">
        <f t="shared" si="9"/>
        <v>289160</v>
      </c>
    </row>
    <row r="20" spans="1:14" ht="15.95">
      <c r="A20" s="3" t="s">
        <v>44</v>
      </c>
      <c r="B20" s="5"/>
      <c r="C20" s="4"/>
    </row>
    <row r="21" spans="1:14" ht="15.95">
      <c r="A21" s="2" t="s">
        <v>45</v>
      </c>
      <c r="B21" s="5">
        <v>5550</v>
      </c>
      <c r="C21" s="4">
        <v>1756</v>
      </c>
      <c r="D21">
        <v>477</v>
      </c>
      <c r="E21">
        <v>730</v>
      </c>
      <c r="F21">
        <v>3175</v>
      </c>
      <c r="G21">
        <v>1374</v>
      </c>
      <c r="J21">
        <f t="shared" ref="J21:J26" si="10">AVERAGE(B21:G21)</f>
        <v>2177</v>
      </c>
      <c r="K21">
        <f t="shared" ref="K21:K26" si="11">STDEV(B21:G21)</f>
        <v>1906.7769665065707</v>
      </c>
      <c r="L21">
        <f t="shared" ref="L21:L26" si="12">MIN(B21:G21)</f>
        <v>477</v>
      </c>
      <c r="M21">
        <f t="shared" ref="M21:M26" si="13">MEDIAN(B21:G21)</f>
        <v>1565</v>
      </c>
      <c r="N21">
        <f t="shared" ref="N21:N26" si="14">MAX(B21:G21)</f>
        <v>5550</v>
      </c>
    </row>
    <row r="22" spans="1:14" ht="15.95">
      <c r="A22" s="2" t="s">
        <v>46</v>
      </c>
      <c r="B22" s="4"/>
      <c r="C22" s="4"/>
      <c r="J22" t="e">
        <f t="shared" si="10"/>
        <v>#DIV/0!</v>
      </c>
      <c r="K22" t="e">
        <f t="shared" si="11"/>
        <v>#DIV/0!</v>
      </c>
      <c r="L22">
        <f t="shared" si="12"/>
        <v>0</v>
      </c>
      <c r="M22" t="e">
        <f t="shared" si="13"/>
        <v>#NUM!</v>
      </c>
      <c r="N22">
        <f t="shared" si="14"/>
        <v>0</v>
      </c>
    </row>
    <row r="23" spans="1:14" ht="15.95">
      <c r="A23" s="2" t="s">
        <v>47</v>
      </c>
      <c r="B23" s="5">
        <v>51752</v>
      </c>
      <c r="C23" s="5">
        <v>53193</v>
      </c>
      <c r="D23">
        <v>49192</v>
      </c>
      <c r="E23">
        <v>49434</v>
      </c>
      <c r="F23">
        <v>46517</v>
      </c>
      <c r="G23">
        <v>49969</v>
      </c>
      <c r="J23">
        <f t="shared" si="10"/>
        <v>50009.5</v>
      </c>
      <c r="K23">
        <f t="shared" si="11"/>
        <v>2296.5052362230745</v>
      </c>
      <c r="L23">
        <f t="shared" si="12"/>
        <v>46517</v>
      </c>
      <c r="M23">
        <f t="shared" si="13"/>
        <v>49701.5</v>
      </c>
      <c r="N23">
        <f t="shared" si="14"/>
        <v>53193</v>
      </c>
    </row>
    <row r="24" spans="1:14" ht="15.95">
      <c r="A24" s="2" t="s">
        <v>48</v>
      </c>
      <c r="B24" s="5">
        <v>25809</v>
      </c>
      <c r="C24" s="5">
        <v>24128</v>
      </c>
      <c r="D24">
        <v>25992</v>
      </c>
      <c r="E24">
        <v>25605</v>
      </c>
      <c r="F24">
        <v>22349</v>
      </c>
      <c r="G24">
        <v>22204</v>
      </c>
      <c r="J24">
        <f t="shared" si="10"/>
        <v>24347.833333333332</v>
      </c>
      <c r="K24">
        <f t="shared" si="11"/>
        <v>1735.4217258829817</v>
      </c>
      <c r="L24">
        <f t="shared" si="12"/>
        <v>22204</v>
      </c>
      <c r="M24">
        <f t="shared" si="13"/>
        <v>24866.5</v>
      </c>
      <c r="N24">
        <f t="shared" si="14"/>
        <v>25992</v>
      </c>
    </row>
    <row r="25" spans="1:14" ht="15.95">
      <c r="A25" s="2" t="s">
        <v>49</v>
      </c>
      <c r="B25" s="5">
        <v>31779</v>
      </c>
      <c r="C25" s="5">
        <v>27782</v>
      </c>
      <c r="D25">
        <v>25870</v>
      </c>
      <c r="E25">
        <v>21097</v>
      </c>
      <c r="F25">
        <v>18686</v>
      </c>
      <c r="G25">
        <v>23645</v>
      </c>
      <c r="J25">
        <f t="shared" si="10"/>
        <v>24809.833333333332</v>
      </c>
      <c r="K25">
        <f t="shared" si="11"/>
        <v>4715.3009412620422</v>
      </c>
      <c r="L25">
        <f t="shared" si="12"/>
        <v>18686</v>
      </c>
      <c r="M25">
        <f t="shared" si="13"/>
        <v>24757.5</v>
      </c>
      <c r="N25">
        <f t="shared" si="14"/>
        <v>31779</v>
      </c>
    </row>
    <row r="26" spans="1:14" ht="15.95">
      <c r="A26" s="2" t="s">
        <v>50</v>
      </c>
      <c r="B26" s="5">
        <v>114890</v>
      </c>
      <c r="C26" s="5">
        <v>106859</v>
      </c>
      <c r="D26">
        <v>101531</v>
      </c>
      <c r="E26">
        <v>96866</v>
      </c>
      <c r="F26">
        <v>90727</v>
      </c>
      <c r="G26">
        <v>97192</v>
      </c>
      <c r="J26">
        <f t="shared" si="10"/>
        <v>101344.16666666667</v>
      </c>
      <c r="K26">
        <f t="shared" si="11"/>
        <v>8531.7827777473703</v>
      </c>
      <c r="L26">
        <f t="shared" si="12"/>
        <v>90727</v>
      </c>
      <c r="M26">
        <f t="shared" si="13"/>
        <v>99361.5</v>
      </c>
      <c r="N26">
        <f t="shared" si="14"/>
        <v>114890</v>
      </c>
    </row>
    <row r="27" spans="1:14" ht="15.95">
      <c r="A27" s="2" t="s">
        <v>51</v>
      </c>
      <c r="B27" s="5"/>
      <c r="C27" s="5"/>
    </row>
    <row r="28" spans="1:14" ht="15.95">
      <c r="A28" s="2" t="s">
        <v>45</v>
      </c>
      <c r="B28" s="5">
        <v>16369</v>
      </c>
      <c r="C28" s="5">
        <v>18898</v>
      </c>
      <c r="D28">
        <v>19467</v>
      </c>
      <c r="E28">
        <v>19200</v>
      </c>
      <c r="F28">
        <v>17200</v>
      </c>
      <c r="G28">
        <v>22633</v>
      </c>
      <c r="J28">
        <f t="shared" ref="J28:J33" si="15">AVERAGE(B28:G28)</f>
        <v>18961.166666666668</v>
      </c>
      <c r="K28">
        <f t="shared" ref="K28:K33" si="16">STDEV(B28:G28)</f>
        <v>2173.4900429186923</v>
      </c>
      <c r="L28">
        <f t="shared" ref="L28:L33" si="17">MIN(B28:G28)</f>
        <v>16369</v>
      </c>
      <c r="M28">
        <f t="shared" ref="M28:M33" si="18">MEDIAN(B28:G28)</f>
        <v>19049</v>
      </c>
      <c r="N28">
        <f t="shared" ref="N28:N33" si="19">MAX(B28:G28)</f>
        <v>22633</v>
      </c>
    </row>
    <row r="29" spans="1:14" ht="15.95">
      <c r="A29" s="2" t="s">
        <v>40</v>
      </c>
      <c r="B29" s="5">
        <v>1354</v>
      </c>
      <c r="C29" s="5">
        <v>1074</v>
      </c>
      <c r="D29">
        <v>1005</v>
      </c>
      <c r="E29">
        <v>1549</v>
      </c>
      <c r="F29">
        <v>1581</v>
      </c>
      <c r="G29">
        <v>538</v>
      </c>
      <c r="J29">
        <f t="shared" si="15"/>
        <v>1183.5</v>
      </c>
      <c r="K29">
        <f t="shared" si="16"/>
        <v>395.26940180084773</v>
      </c>
      <c r="L29">
        <f t="shared" si="17"/>
        <v>538</v>
      </c>
      <c r="M29">
        <f t="shared" si="18"/>
        <v>1214</v>
      </c>
      <c r="N29">
        <f t="shared" si="19"/>
        <v>1581</v>
      </c>
    </row>
    <row r="30" spans="1:14" ht="15.95">
      <c r="A30" s="2" t="s">
        <v>52</v>
      </c>
      <c r="B30" s="5">
        <v>28</v>
      </c>
      <c r="C30" s="4">
        <v>23</v>
      </c>
      <c r="D30">
        <v>25</v>
      </c>
      <c r="E30">
        <v>-75</v>
      </c>
      <c r="F30">
        <v>103</v>
      </c>
      <c r="G30">
        <v>121</v>
      </c>
      <c r="J30">
        <f t="shared" si="15"/>
        <v>37.5</v>
      </c>
      <c r="K30">
        <f t="shared" si="16"/>
        <v>69.821916330046406</v>
      </c>
      <c r="L30">
        <f t="shared" si="17"/>
        <v>-75</v>
      </c>
      <c r="M30">
        <f t="shared" si="18"/>
        <v>26.5</v>
      </c>
      <c r="N30">
        <f t="shared" si="19"/>
        <v>121</v>
      </c>
    </row>
    <row r="31" spans="1:14" ht="15.95">
      <c r="A31" s="2" t="s">
        <v>46</v>
      </c>
      <c r="B31" s="5"/>
      <c r="C31" s="5"/>
      <c r="J31" t="e">
        <f t="shared" si="15"/>
        <v>#DIV/0!</v>
      </c>
      <c r="K31" t="e">
        <f t="shared" si="16"/>
        <v>#DIV/0!</v>
      </c>
      <c r="L31">
        <f t="shared" si="17"/>
        <v>0</v>
      </c>
      <c r="M31" t="e">
        <f t="shared" si="18"/>
        <v>#NUM!</v>
      </c>
      <c r="N31">
        <f t="shared" si="19"/>
        <v>0</v>
      </c>
    </row>
    <row r="32" spans="1:14" ht="15.95">
      <c r="A32" s="2" t="s">
        <v>53</v>
      </c>
      <c r="B32" s="4">
        <v>89665</v>
      </c>
      <c r="C32" s="4">
        <v>84675</v>
      </c>
      <c r="D32">
        <v>80095</v>
      </c>
      <c r="E32">
        <v>69605</v>
      </c>
      <c r="F32">
        <v>71200</v>
      </c>
      <c r="G32">
        <v>87708</v>
      </c>
      <c r="J32">
        <f t="shared" si="15"/>
        <v>80491.333333333328</v>
      </c>
      <c r="K32">
        <f t="shared" si="16"/>
        <v>8470.3921200064087</v>
      </c>
      <c r="L32">
        <f t="shared" si="17"/>
        <v>69605</v>
      </c>
      <c r="M32">
        <f t="shared" si="18"/>
        <v>82385</v>
      </c>
      <c r="N32">
        <f t="shared" si="19"/>
        <v>89665</v>
      </c>
    </row>
    <row r="33" spans="1:14" ht="15.95">
      <c r="A33" s="2" t="s">
        <v>49</v>
      </c>
      <c r="B33" s="4">
        <v>30902</v>
      </c>
      <c r="C33" s="4">
        <v>28832</v>
      </c>
      <c r="D33">
        <v>28414</v>
      </c>
      <c r="E33">
        <v>25497</v>
      </c>
      <c r="F33">
        <v>27705</v>
      </c>
      <c r="G33">
        <v>28379</v>
      </c>
      <c r="J33">
        <f t="shared" si="15"/>
        <v>28288.166666666668</v>
      </c>
      <c r="K33">
        <f t="shared" si="16"/>
        <v>1748.2939588829638</v>
      </c>
      <c r="L33">
        <f t="shared" si="17"/>
        <v>25497</v>
      </c>
      <c r="M33">
        <f t="shared" si="18"/>
        <v>28396.5</v>
      </c>
      <c r="N33">
        <f t="shared" si="19"/>
        <v>30902</v>
      </c>
    </row>
    <row r="34" spans="1:14" ht="15.95">
      <c r="A34" s="3" t="s">
        <v>54</v>
      </c>
      <c r="B34" s="4"/>
      <c r="C34" s="4"/>
    </row>
    <row r="35" spans="1:14" ht="15.95">
      <c r="A35" s="2" t="s">
        <v>55</v>
      </c>
      <c r="B35" s="5">
        <v>1</v>
      </c>
      <c r="C35" s="5">
        <v>1</v>
      </c>
      <c r="D35">
        <v>1</v>
      </c>
      <c r="E35">
        <v>1</v>
      </c>
      <c r="F35">
        <v>1</v>
      </c>
      <c r="G35">
        <v>1</v>
      </c>
      <c r="J35">
        <f t="shared" ref="J35:J43" si="20">AVERAGE(B35:G35)</f>
        <v>1</v>
      </c>
      <c r="K35">
        <f t="shared" ref="K35:K43" si="21">STDEV(B35:G35)</f>
        <v>0</v>
      </c>
      <c r="L35">
        <f t="shared" ref="L35:L43" si="22">MIN(B35:G35)</f>
        <v>1</v>
      </c>
      <c r="M35">
        <f t="shared" ref="M35:M43" si="23">MEDIAN(B35:G35)</f>
        <v>1</v>
      </c>
      <c r="N35">
        <f t="shared" ref="N35:N43" si="24">MAX(B35:G35)</f>
        <v>1</v>
      </c>
    </row>
    <row r="36" spans="1:14" ht="15.95">
      <c r="A36" s="2" t="s">
        <v>55</v>
      </c>
      <c r="B36" s="5">
        <v>41</v>
      </c>
      <c r="C36" s="5">
        <v>41</v>
      </c>
      <c r="D36">
        <v>41</v>
      </c>
      <c r="E36">
        <v>41</v>
      </c>
      <c r="F36">
        <v>40</v>
      </c>
      <c r="G36">
        <v>40</v>
      </c>
      <c r="J36">
        <f t="shared" si="20"/>
        <v>40.666666666666664</v>
      </c>
      <c r="K36">
        <f t="shared" si="21"/>
        <v>0.51639777949432231</v>
      </c>
      <c r="L36">
        <f t="shared" si="22"/>
        <v>40</v>
      </c>
      <c r="M36">
        <f t="shared" si="23"/>
        <v>41</v>
      </c>
      <c r="N36">
        <f t="shared" si="24"/>
        <v>41</v>
      </c>
    </row>
    <row r="37" spans="1:14" ht="15.95">
      <c r="A37" s="2" t="s">
        <v>56</v>
      </c>
      <c r="B37" s="4">
        <v>23922</v>
      </c>
      <c r="C37" s="4">
        <v>23502</v>
      </c>
      <c r="D37">
        <v>23128</v>
      </c>
      <c r="E37">
        <v>22832</v>
      </c>
      <c r="F37">
        <v>22611</v>
      </c>
      <c r="G37">
        <v>22290</v>
      </c>
      <c r="J37">
        <f t="shared" si="20"/>
        <v>23047.5</v>
      </c>
      <c r="K37">
        <f t="shared" si="21"/>
        <v>598.09355455480375</v>
      </c>
      <c r="L37">
        <f t="shared" si="22"/>
        <v>22290</v>
      </c>
      <c r="M37">
        <f t="shared" si="23"/>
        <v>22980</v>
      </c>
      <c r="N37">
        <f t="shared" si="24"/>
        <v>23922</v>
      </c>
    </row>
    <row r="38" spans="1:14" ht="15.95">
      <c r="A38" s="2" t="s">
        <v>57</v>
      </c>
      <c r="B38" s="5">
        <v>-2810</v>
      </c>
      <c r="C38" s="5">
        <v>-2810</v>
      </c>
      <c r="D38">
        <v>-2384</v>
      </c>
      <c r="E38">
        <v>-2047</v>
      </c>
      <c r="F38">
        <v>-1563</v>
      </c>
      <c r="G38">
        <v>-1590</v>
      </c>
      <c r="J38">
        <f t="shared" si="20"/>
        <v>-2200.6666666666665</v>
      </c>
      <c r="K38">
        <f t="shared" si="21"/>
        <v>562.01980985252328</v>
      </c>
      <c r="L38">
        <f t="shared" si="22"/>
        <v>-2810</v>
      </c>
      <c r="M38">
        <f t="shared" si="23"/>
        <v>-2215.5</v>
      </c>
      <c r="N38">
        <f t="shared" si="24"/>
        <v>-1563</v>
      </c>
    </row>
    <row r="39" spans="1:14" ht="15.95">
      <c r="A39" s="2" t="s">
        <v>58</v>
      </c>
      <c r="B39" s="4"/>
      <c r="C39" s="4"/>
      <c r="J39" t="e">
        <f t="shared" si="20"/>
        <v>#DIV/0!</v>
      </c>
      <c r="K39" t="e">
        <f t="shared" si="21"/>
        <v>#DIV/0!</v>
      </c>
      <c r="L39">
        <f t="shared" si="22"/>
        <v>0</v>
      </c>
      <c r="M39" t="e">
        <f t="shared" si="23"/>
        <v>#NUM!</v>
      </c>
      <c r="N39">
        <f t="shared" si="24"/>
        <v>0</v>
      </c>
    </row>
    <row r="40" spans="1:14" ht="15.95">
      <c r="A40" s="2" t="s">
        <v>59</v>
      </c>
      <c r="B40" s="5">
        <v>22508</v>
      </c>
      <c r="C40" s="5">
        <v>33740</v>
      </c>
      <c r="D40">
        <v>31029</v>
      </c>
      <c r="E40">
        <v>31754</v>
      </c>
      <c r="F40">
        <v>35769</v>
      </c>
      <c r="G40">
        <v>18243</v>
      </c>
      <c r="J40">
        <f t="shared" si="20"/>
        <v>28840.5</v>
      </c>
      <c r="K40">
        <f t="shared" si="21"/>
        <v>6894.8500998933978</v>
      </c>
      <c r="L40">
        <f t="shared" si="22"/>
        <v>18243</v>
      </c>
      <c r="M40">
        <f t="shared" si="23"/>
        <v>31391.5</v>
      </c>
      <c r="N40">
        <f t="shared" si="24"/>
        <v>35769</v>
      </c>
    </row>
    <row r="41" spans="1:14" ht="32.1">
      <c r="A41" s="2" t="s">
        <v>60</v>
      </c>
      <c r="B41" s="6">
        <v>-7710</v>
      </c>
      <c r="C41" s="6">
        <v>-9639</v>
      </c>
      <c r="D41">
        <v>-9042</v>
      </c>
      <c r="E41">
        <v>-9339</v>
      </c>
      <c r="F41">
        <v>-8339</v>
      </c>
      <c r="G41">
        <v>-8294</v>
      </c>
      <c r="J41">
        <f t="shared" si="20"/>
        <v>-8727.1666666666661</v>
      </c>
      <c r="K41">
        <f t="shared" si="21"/>
        <v>731.82440972317033</v>
      </c>
      <c r="L41">
        <f t="shared" si="22"/>
        <v>-9639</v>
      </c>
      <c r="M41">
        <f t="shared" si="23"/>
        <v>-8690.5</v>
      </c>
      <c r="N41">
        <f t="shared" si="24"/>
        <v>-7710</v>
      </c>
    </row>
    <row r="42" spans="1:14" ht="15.95">
      <c r="A42" s="2" t="s">
        <v>61</v>
      </c>
      <c r="B42">
        <v>35952</v>
      </c>
      <c r="C42">
        <v>44835</v>
      </c>
      <c r="D42">
        <v>42773</v>
      </c>
      <c r="E42">
        <v>43242</v>
      </c>
      <c r="F42">
        <v>48519</v>
      </c>
      <c r="G42">
        <v>30690</v>
      </c>
      <c r="J42">
        <f t="shared" si="20"/>
        <v>41001.833333333336</v>
      </c>
      <c r="K42">
        <f t="shared" si="21"/>
        <v>6499.0932111077464</v>
      </c>
      <c r="L42">
        <f t="shared" si="22"/>
        <v>30690</v>
      </c>
      <c r="M42">
        <f t="shared" si="23"/>
        <v>43007.5</v>
      </c>
      <c r="N42">
        <f t="shared" si="24"/>
        <v>48519</v>
      </c>
    </row>
    <row r="43" spans="1:14">
      <c r="A43" t="s">
        <v>62</v>
      </c>
      <c r="B43">
        <v>289160</v>
      </c>
      <c r="C43">
        <v>285196</v>
      </c>
      <c r="D43">
        <v>273310</v>
      </c>
      <c r="E43">
        <v>255884</v>
      </c>
      <c r="F43">
        <v>257035</v>
      </c>
      <c r="G43">
        <v>267261</v>
      </c>
      <c r="J43">
        <f t="shared" si="20"/>
        <v>271307.66666666669</v>
      </c>
      <c r="K43">
        <f t="shared" si="21"/>
        <v>13954.031427034506</v>
      </c>
      <c r="L43">
        <f t="shared" si="22"/>
        <v>255884</v>
      </c>
      <c r="M43">
        <f t="shared" si="23"/>
        <v>270285.5</v>
      </c>
      <c r="N43">
        <f t="shared" si="24"/>
        <v>289160</v>
      </c>
    </row>
    <row r="44" spans="1:14" ht="15.95">
      <c r="A44" s="2" t="s">
        <v>63</v>
      </c>
      <c r="B44">
        <f>B43-B42</f>
        <v>253208</v>
      </c>
      <c r="C44">
        <f>C43-C42</f>
        <v>240361</v>
      </c>
      <c r="D44">
        <f>D43-D42</f>
        <v>230537</v>
      </c>
      <c r="E44">
        <f>E43-E42</f>
        <v>212642</v>
      </c>
      <c r="F44">
        <f>F43-F42</f>
        <v>208516</v>
      </c>
      <c r="G44">
        <f>G43-G42</f>
        <v>236571</v>
      </c>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G46"/>
  <sheetViews>
    <sheetView workbookViewId="0">
      <selection activeCell="C41" sqref="C41:D41"/>
    </sheetView>
  </sheetViews>
  <sheetFormatPr defaultColWidth="8.85546875" defaultRowHeight="15"/>
  <cols>
    <col min="1" max="1" width="33.42578125" customWidth="1"/>
    <col min="2" max="7" width="12.85546875" customWidth="1"/>
  </cols>
  <sheetData>
    <row r="1" spans="1:7">
      <c r="A1" s="1" t="s">
        <v>64</v>
      </c>
      <c r="B1" s="1" t="s">
        <v>16</v>
      </c>
      <c r="C1" s="1" t="s">
        <v>17</v>
      </c>
      <c r="D1" s="1" t="s">
        <v>18</v>
      </c>
      <c r="E1" s="1" t="s">
        <v>19</v>
      </c>
      <c r="F1" s="1" t="s">
        <v>20</v>
      </c>
      <c r="G1" s="1" t="s">
        <v>21</v>
      </c>
    </row>
    <row r="2" spans="1:7">
      <c r="A2" s="35" t="s">
        <v>65</v>
      </c>
      <c r="B2" s="9"/>
      <c r="C2" s="9"/>
      <c r="D2" s="9"/>
      <c r="E2" s="9"/>
      <c r="F2" s="9"/>
      <c r="G2" s="9"/>
    </row>
    <row r="3" spans="1:7">
      <c r="B3" s="9">
        <v>2025</v>
      </c>
      <c r="C3" s="9">
        <v>2024</v>
      </c>
      <c r="D3" s="9">
        <v>2023</v>
      </c>
      <c r="E3" s="9">
        <v>2022</v>
      </c>
      <c r="F3" s="9">
        <v>2021</v>
      </c>
      <c r="G3" s="9">
        <v>2020</v>
      </c>
    </row>
    <row r="4" spans="1:7" ht="15.95">
      <c r="A4" s="28" t="s">
        <v>27</v>
      </c>
    </row>
    <row r="5" spans="1:7" ht="15.95">
      <c r="A5" s="28" t="s">
        <v>28</v>
      </c>
      <c r="B5" s="36">
        <f>('D1_Balance Sheet'!B4/'D1_Balance Sheet'!$B$19)</f>
        <v>8.0771890994605064E-2</v>
      </c>
      <c r="C5" s="36">
        <f>('D1_Balance Sheet'!C4/'D1_Balance Sheet'!$C$19)</f>
        <v>8.041837893939606E-2</v>
      </c>
      <c r="D5" s="36">
        <f>('D1_Balance Sheet'!D4/'D1_Balance Sheet'!$D$19)</f>
        <v>9.0966302001390359E-2</v>
      </c>
      <c r="E5" s="36">
        <f>('D1_Balance Sheet'!E4/'D1_Balance Sheet'!$E$19)</f>
        <v>9.822419533851276E-2</v>
      </c>
      <c r="F5" s="36">
        <f>('D1_Balance Sheet'!F4/'D1_Balance Sheet'!$F$19)</f>
        <v>7.9911296126986595E-2</v>
      </c>
      <c r="G5" s="36">
        <f>('D1_Balance Sheet'!G4/'D1_Balance Sheet'!$G$19)</f>
        <v>9.4450742906746585E-2</v>
      </c>
    </row>
    <row r="6" spans="1:7" ht="15.95">
      <c r="A6" s="3" t="s">
        <v>29</v>
      </c>
      <c r="B6" s="36">
        <f>('D1_Balance Sheet'!B5/'D1_Balance Sheet'!$B$19)</f>
        <v>5.2327431179969568E-2</v>
      </c>
      <c r="C6" s="36">
        <f>('D1_Balance Sheet'!C5/'D1_Balance Sheet'!$C$19)</f>
        <v>5.4043534972440008E-2</v>
      </c>
      <c r="D6" s="36">
        <f>('D1_Balance Sheet'!D5/'D1_Balance Sheet'!$D$19)</f>
        <v>5.6013318210091104E-2</v>
      </c>
      <c r="E6" s="36">
        <f>('D1_Balance Sheet'!E5/'D1_Balance Sheet'!$E$19)</f>
        <v>7.4002282284160004E-2</v>
      </c>
      <c r="F6" s="36">
        <f>('D1_Balance Sheet'!F5/'D1_Balance Sheet'!$F$19)</f>
        <v>0.11303129923940319</v>
      </c>
      <c r="G6" s="36">
        <f>('D1_Balance Sheet'!G5/'D1_Balance Sheet'!$G$19)</f>
        <v>9.2486371000632339E-2</v>
      </c>
    </row>
    <row r="7" spans="1:7" ht="15.95">
      <c r="A7" s="2" t="s">
        <v>30</v>
      </c>
      <c r="B7" s="36">
        <f>('D1_Balance Sheet'!B6/'D1_Balance Sheet'!$B$19)</f>
        <v>5.3250795407386912E-2</v>
      </c>
      <c r="C7" s="36">
        <f>('D1_Balance Sheet'!C6/'D1_Balance Sheet'!$C$19)</f>
        <v>5.162414620120899E-2</v>
      </c>
      <c r="D7" s="36">
        <f>('D1_Balance Sheet'!D6/'D1_Balance Sheet'!$D$19)</f>
        <v>5.7081702096520436E-2</v>
      </c>
      <c r="E7" s="36">
        <f>('D1_Balance Sheet'!E6/'D1_Balance Sheet'!$E$19)</f>
        <v>6.1469259508214663E-2</v>
      </c>
      <c r="F7" s="36">
        <f>('D1_Balance Sheet'!F6/'D1_Balance Sheet'!$F$19)</f>
        <v>4.4235220884315363E-2</v>
      </c>
      <c r="G7" s="36">
        <f>('D1_Balance Sheet'!G6/'D1_Balance Sheet'!$G$19)</f>
        <v>3.7390416110094624E-2</v>
      </c>
    </row>
    <row r="8" spans="1:7" ht="15.95">
      <c r="A8" s="2" t="s">
        <v>31</v>
      </c>
      <c r="B8" s="36">
        <f>('D1_Balance Sheet'!B7/'D1_Balance Sheet'!$B$19)</f>
        <v>5.2860008299903165E-2</v>
      </c>
      <c r="C8" s="36">
        <f>('D1_Balance Sheet'!C7/'D1_Balance Sheet'!$C$19)</f>
        <v>5.2423596403876629E-2</v>
      </c>
      <c r="D8" s="36">
        <f>('D1_Balance Sheet'!D7/'D1_Balance Sheet'!$D$19)</f>
        <v>5.7264644542826829E-2</v>
      </c>
      <c r="E8" s="36">
        <f>('D1_Balance Sheet'!E7/'D1_Balance Sheet'!$E$19)</f>
        <v>5.5024933172843946E-2</v>
      </c>
      <c r="F8" s="36">
        <f>('D1_Balance Sheet'!F7/'D1_Balance Sheet'!$F$19)</f>
        <v>4.6939132802925672E-2</v>
      </c>
      <c r="G8" s="36">
        <f>('D1_Balance Sheet'!G7/'D1_Balance Sheet'!$G$19)</f>
        <v>4.0439869640538646E-2</v>
      </c>
    </row>
    <row r="9" spans="1:7" ht="32.1">
      <c r="A9" s="2" t="s">
        <v>32</v>
      </c>
      <c r="B9" s="36">
        <f>('D1_Balance Sheet'!B8/'D1_Balance Sheet'!$B$19)</f>
        <v>0.16990593443076499</v>
      </c>
      <c r="C9" s="36">
        <f>('D1_Balance Sheet'!C8/'D1_Balance Sheet'!$C$19)</f>
        <v>0.18180479389612758</v>
      </c>
      <c r="D9" s="36">
        <f>('D1_Balance Sheet'!D8/'D1_Balance Sheet'!$D$19)</f>
        <v>0.16986206139548499</v>
      </c>
      <c r="E9" s="36">
        <f>('D1_Balance Sheet'!E8/'D1_Balance Sheet'!$E$19)</f>
        <v>0.15131856622532086</v>
      </c>
      <c r="F9" s="36">
        <f>('D1_Balance Sheet'!F8/'D1_Balance Sheet'!$F$19)</f>
        <v>0.12660921664364774</v>
      </c>
      <c r="G9" s="36">
        <f>('D1_Balance Sheet'!G8/'D1_Balance Sheet'!$G$19)</f>
        <v>0.15865015845933375</v>
      </c>
    </row>
    <row r="10" spans="1:7" ht="15.95">
      <c r="A10" s="2" t="s">
        <v>33</v>
      </c>
      <c r="B10" s="36">
        <f>('D1_Balance Sheet'!B9/'D1_Balance Sheet'!$B$19)</f>
        <v>0</v>
      </c>
      <c r="C10" s="36">
        <f>('D1_Balance Sheet'!C9/'D1_Balance Sheet'!$C$19)</f>
        <v>0</v>
      </c>
      <c r="D10" s="36">
        <f>('D1_Balance Sheet'!D9/'D1_Balance Sheet'!$D$19)</f>
        <v>0</v>
      </c>
      <c r="E10" s="36">
        <f>('D1_Balance Sheet'!E9/'D1_Balance Sheet'!$E$19)</f>
        <v>0</v>
      </c>
      <c r="F10" s="36">
        <f>('D1_Balance Sheet'!F9/'D1_Balance Sheet'!$F$19)</f>
        <v>3.5014686715816909E-5</v>
      </c>
      <c r="G10" s="36">
        <f>('D1_Balance Sheet'!G9/'D1_Balance Sheet'!$G$19)</f>
        <v>0</v>
      </c>
    </row>
    <row r="11" spans="1:7" ht="15.95">
      <c r="A11" s="2" t="s">
        <v>34</v>
      </c>
      <c r="B11" s="36">
        <f>('D1_Balance Sheet'!B10/'D1_Balance Sheet'!$B$19)</f>
        <v>1.7938165721399918E-2</v>
      </c>
      <c r="C11" s="36">
        <f>('D1_Balance Sheet'!C10/'D1_Balance Sheet'!$C$19)</f>
        <v>1.6136271195949452E-2</v>
      </c>
      <c r="D11" s="36">
        <f>('D1_Balance Sheet'!D10/'D1_Balance Sheet'!$D$19)</f>
        <v>1.3292598148622443E-2</v>
      </c>
      <c r="E11" s="36">
        <f>('D1_Balance Sheet'!E10/'D1_Balance Sheet'!$E$19)</f>
        <v>1.515139672664176E-2</v>
      </c>
      <c r="F11" s="36">
        <f>('D1_Balance Sheet'!F10/'D1_Balance Sheet'!$F$19)</f>
        <v>1.3290018869025619E-2</v>
      </c>
      <c r="G11" s="36">
        <f>('D1_Balance Sheet'!G10/'D1_Balance Sheet'!$G$19)</f>
        <v>1.3398887230085947E-2</v>
      </c>
    </row>
    <row r="12" spans="1:7" ht="15.95">
      <c r="A12" s="2" t="s">
        <v>35</v>
      </c>
      <c r="B12" s="36">
        <f>('D1_Balance Sheet'!B11/'D1_Balance Sheet'!$B$19)</f>
        <v>0.42705422603402959</v>
      </c>
      <c r="C12" s="36">
        <f>('D1_Balance Sheet'!C11/'D1_Balance Sheet'!$C$19)</f>
        <v>0.43645072160899873</v>
      </c>
      <c r="D12" s="36">
        <f>('D1_Balance Sheet'!D11/'D1_Balance Sheet'!$D$19)</f>
        <v>0.44448062639493613</v>
      </c>
      <c r="E12" s="36">
        <f>('D1_Balance Sheet'!E11/'D1_Balance Sheet'!$E$19)</f>
        <v>0.45519063325569398</v>
      </c>
      <c r="F12" s="36">
        <f>('D1_Balance Sheet'!F11/'D1_Balance Sheet'!$F$19)</f>
        <v>0.42405119925302004</v>
      </c>
      <c r="G12" s="36">
        <f>('D1_Balance Sheet'!G11/'D1_Balance Sheet'!$G$19)</f>
        <v>0.43681644534743191</v>
      </c>
    </row>
    <row r="13" spans="1:7" ht="15.95">
      <c r="A13" s="2" t="s">
        <v>36</v>
      </c>
      <c r="B13" s="36">
        <f>('D1_Balance Sheet'!B12/'D1_Balance Sheet'!$B$19)</f>
        <v>0</v>
      </c>
      <c r="C13" s="36">
        <f>('D1_Balance Sheet'!C12/'D1_Balance Sheet'!$C$19)</f>
        <v>0</v>
      </c>
      <c r="D13" s="36">
        <f>('D1_Balance Sheet'!D12/'D1_Balance Sheet'!$D$19)</f>
        <v>0</v>
      </c>
      <c r="E13" s="36">
        <f>('D1_Balance Sheet'!E12/'D1_Balance Sheet'!$E$19)</f>
        <v>0</v>
      </c>
      <c r="F13" s="36">
        <f>('D1_Balance Sheet'!F12/'D1_Balance Sheet'!$F$19)</f>
        <v>0</v>
      </c>
      <c r="G13" s="36">
        <f>('D1_Balance Sheet'!G12/'D1_Balance Sheet'!$G$19)</f>
        <v>0</v>
      </c>
    </row>
    <row r="14" spans="1:7" ht="15.95">
      <c r="A14" s="2" t="s">
        <v>37</v>
      </c>
      <c r="B14" s="36">
        <f>('D1_Balance Sheet'!B13/'D1_Balance Sheet'!$B$19)</f>
        <v>0.12895282888366302</v>
      </c>
      <c r="C14" s="36">
        <f>('D1_Balance Sheet'!C13/'D1_Balance Sheet'!$C$19)</f>
        <v>0.14701468463793321</v>
      </c>
      <c r="D14" s="36">
        <f>('D1_Balance Sheet'!D13/'D1_Balance Sheet'!$D$19)</f>
        <v>0.14935787201346457</v>
      </c>
      <c r="E14" s="36">
        <f>('D1_Balance Sheet'!E13/'D1_Balance Sheet'!$E$19)</f>
        <v>0.14563239592940552</v>
      </c>
      <c r="F14" s="36">
        <f>('D1_Balance Sheet'!F13/'D1_Balance Sheet'!$F$19)</f>
        <v>0.14449004999319159</v>
      </c>
      <c r="G14" s="36">
        <f>('D1_Balance Sheet'!G13/'D1_Balance Sheet'!$G$19)</f>
        <v>0.13875200646558983</v>
      </c>
    </row>
    <row r="15" spans="1:7" ht="15.95">
      <c r="A15" s="2" t="s">
        <v>38</v>
      </c>
      <c r="B15" s="36">
        <f>('D1_Balance Sheet'!B14/'D1_Balance Sheet'!$B$19)</f>
        <v>9.8699681837045236E-2</v>
      </c>
      <c r="C15" s="36">
        <f>('D1_Balance Sheet'!C14/'D1_Balance Sheet'!$C$19)</f>
        <v>8.0460455265852257E-2</v>
      </c>
      <c r="D15" s="36">
        <f>('D1_Balance Sheet'!D14/'D1_Balance Sheet'!$D$19)</f>
        <v>7.8240825436317732E-2</v>
      </c>
      <c r="E15" s="36">
        <f>('D1_Balance Sheet'!E14/'D1_Balance Sheet'!$E$19)</f>
        <v>8.8993450157102444E-2</v>
      </c>
      <c r="F15" s="36">
        <f>('D1_Balance Sheet'!F14/'D1_Balance Sheet'!$F$19)</f>
        <v>0.10255801739062774</v>
      </c>
      <c r="G15" s="36">
        <f>('D1_Balance Sheet'!G14/'D1_Balance Sheet'!$G$19)</f>
        <v>0.10458316028152255</v>
      </c>
    </row>
    <row r="16" spans="1:7" ht="32.1">
      <c r="A16" s="2" t="s">
        <v>39</v>
      </c>
      <c r="B16" s="36">
        <f>('D1_Balance Sheet'!B15/'D1_Balance Sheet'!$B$19)</f>
        <v>9.520680592059759E-3</v>
      </c>
      <c r="C16" s="36">
        <f>('D1_Balance Sheet'!C15/'D1_Balance Sheet'!$C$19)</f>
        <v>2.391688522980687E-2</v>
      </c>
      <c r="D16" s="36">
        <f>('D1_Balance Sheet'!D15/'D1_Balance Sheet'!$D$19)</f>
        <v>2.0299293842157257E-2</v>
      </c>
      <c r="E16" s="36">
        <f>('D1_Balance Sheet'!E15/'D1_Balance Sheet'!$E$19)</f>
        <v>1.0934642259773961E-2</v>
      </c>
      <c r="F16" s="36">
        <f>('D1_Balance Sheet'!F15/'D1_Balance Sheet'!$F$19)</f>
        <v>1.7682416791487542E-2</v>
      </c>
      <c r="G16" s="36">
        <f>('D1_Balance Sheet'!G15/'D1_Balance Sheet'!$G$19)</f>
        <v>1.8337879451173197E-2</v>
      </c>
    </row>
    <row r="17" spans="1:7" ht="15.95">
      <c r="A17" s="2" t="s">
        <v>40</v>
      </c>
      <c r="B17" s="36">
        <f>('D1_Balance Sheet'!B16/'D1_Balance Sheet'!$B$19)</f>
        <v>7.5919905934430765E-2</v>
      </c>
      <c r="C17" s="36">
        <f>('D1_Balance Sheet'!C16/'D1_Balance Sheet'!$C$19)</f>
        <v>5.7416653810011362E-2</v>
      </c>
      <c r="D17" s="36">
        <f>('D1_Balance Sheet'!D16/'D1_Balance Sheet'!$D$19)</f>
        <v>6.2145549010281367E-2</v>
      </c>
      <c r="E17" s="36">
        <f>('D1_Balance Sheet'!E16/'D1_Balance Sheet'!$E$19)</f>
        <v>6.0777539822732173E-2</v>
      </c>
      <c r="F17" s="36">
        <f>('D1_Balance Sheet'!F16/'D1_Balance Sheet'!$F$19)</f>
        <v>5.3673624214601125E-2</v>
      </c>
      <c r="G17" s="36">
        <f>('D1_Balance Sheet'!G16/'D1_Balance Sheet'!$G$19)</f>
        <v>4.6482651789823429E-2</v>
      </c>
    </row>
    <row r="18" spans="1:7" ht="15.95">
      <c r="A18" s="2" t="s">
        <v>41</v>
      </c>
      <c r="B18" s="36">
        <f>('D1_Balance Sheet'!B17/'D1_Balance Sheet'!$B$19)</f>
        <v>0.21250864573246644</v>
      </c>
      <c r="C18" s="36">
        <f>('D1_Balance Sheet'!C17/'D1_Balance Sheet'!$C$19)</f>
        <v>0.20963127112582225</v>
      </c>
      <c r="D18" s="36">
        <f>('D1_Balance Sheet'!D17/'D1_Balance Sheet'!$D$19)</f>
        <v>0.20361494273901432</v>
      </c>
      <c r="E18" s="36">
        <f>('D1_Balance Sheet'!E17/'D1_Balance Sheet'!$E$19)</f>
        <v>0.19502196307701927</v>
      </c>
      <c r="F18" s="36">
        <f>('D1_Balance Sheet'!F17/'D1_Balance Sheet'!$F$19)</f>
        <v>0.19941253136732351</v>
      </c>
      <c r="G18" s="36">
        <f>('D1_Balance Sheet'!G17/'D1_Balance Sheet'!$G$19)</f>
        <v>0.20682778257957576</v>
      </c>
    </row>
    <row r="19" spans="1:7" ht="15.95">
      <c r="A19" s="2" t="s">
        <v>42</v>
      </c>
      <c r="B19" s="36">
        <f>('D1_Balance Sheet'!B18/'D1_Balance Sheet'!$B$19)</f>
        <v>4.7344030986305158E-2</v>
      </c>
      <c r="C19" s="36">
        <f>('D1_Balance Sheet'!C18/'D1_Balance Sheet'!$C$19)</f>
        <v>4.510932832157534E-2</v>
      </c>
      <c r="D19" s="36">
        <f>('D1_Balance Sheet'!D18/'D1_Balance Sheet'!$D$19)</f>
        <v>4.1860890563828621E-2</v>
      </c>
      <c r="E19" s="36">
        <f>('D1_Balance Sheet'!E18/'D1_Balance Sheet'!$E$19)</f>
        <v>4.3449375498272658E-2</v>
      </c>
      <c r="F19" s="36">
        <f>('D1_Balance Sheet'!F18/'D1_Balance Sheet'!$F$19)</f>
        <v>5.813216098974848E-2</v>
      </c>
      <c r="G19" s="36">
        <f>('D1_Balance Sheet'!G18/'D1_Balance Sheet'!$G$19)</f>
        <v>4.8200074084883318E-2</v>
      </c>
    </row>
    <row r="20" spans="1:7" ht="15.95">
      <c r="A20" s="2" t="s">
        <v>43</v>
      </c>
      <c r="B20" s="36">
        <f>('D1_Balance Sheet'!B19/'D1_Balance Sheet'!$B$19)</f>
        <v>1</v>
      </c>
      <c r="C20" s="36">
        <f>('D1_Balance Sheet'!C19/'D1_Balance Sheet'!$C$19)</f>
        <v>1</v>
      </c>
      <c r="D20" s="36">
        <f>('D1_Balance Sheet'!D19/'D1_Balance Sheet'!$D$19)</f>
        <v>1</v>
      </c>
      <c r="E20" s="36">
        <f>('D1_Balance Sheet'!E19/'D1_Balance Sheet'!$E$19)</f>
        <v>1</v>
      </c>
      <c r="F20" s="36">
        <f>('D1_Balance Sheet'!F19/'D1_Balance Sheet'!$F$19)</f>
        <v>1</v>
      </c>
      <c r="G20" s="36">
        <f>('D1_Balance Sheet'!G19/'D1_Balance Sheet'!$G$19)</f>
        <v>1</v>
      </c>
    </row>
    <row r="21" spans="1:7" ht="15.95">
      <c r="A21" s="3" t="s">
        <v>44</v>
      </c>
      <c r="B21" s="36">
        <f>('D1_Balance Sheet'!B20/'D1_Balance Sheet'!$B$19)</f>
        <v>0</v>
      </c>
      <c r="C21" s="36">
        <f>('D1_Balance Sheet'!C20/'D1_Balance Sheet'!$C$19)</f>
        <v>0</v>
      </c>
      <c r="D21" s="36">
        <f>('D1_Balance Sheet'!D20/'D1_Balance Sheet'!$D$19)</f>
        <v>0</v>
      </c>
      <c r="E21" s="36">
        <f>('D1_Balance Sheet'!E20/'D1_Balance Sheet'!$E$19)</f>
        <v>0</v>
      </c>
      <c r="F21" s="36">
        <f>('D1_Balance Sheet'!F20/'D1_Balance Sheet'!$F$19)</f>
        <v>0</v>
      </c>
      <c r="G21" s="36">
        <f>('D1_Balance Sheet'!G20/'D1_Balance Sheet'!$G$19)</f>
        <v>0</v>
      </c>
    </row>
    <row r="22" spans="1:7" ht="15.95">
      <c r="A22" s="2" t="s">
        <v>45</v>
      </c>
      <c r="B22" s="36">
        <f>('D1_Balance Sheet'!B21/'D1_Balance Sheet'!$B$19)</f>
        <v>1.919352607552912E-2</v>
      </c>
      <c r="C22" s="36">
        <f>('D1_Balance Sheet'!C21/'D1_Balance Sheet'!$C$19)</f>
        <v>6.1571691047560273E-3</v>
      </c>
      <c r="D22" s="36">
        <f>('D1_Balance Sheet'!D21/'D1_Balance Sheet'!$D$19)</f>
        <v>1.7452709377629798E-3</v>
      </c>
      <c r="E22" s="36">
        <f>('D1_Balance Sheet'!E21/'D1_Balance Sheet'!$E$19)</f>
        <v>2.8528552000125058E-3</v>
      </c>
      <c r="F22" s="36">
        <f>('D1_Balance Sheet'!F21/'D1_Balance Sheet'!$F$19)</f>
        <v>1.2352403369190966E-2</v>
      </c>
      <c r="G22" s="36">
        <f>('D1_Balance Sheet'!G21/'D1_Balance Sheet'!$G$19)</f>
        <v>5.1410419028590027E-3</v>
      </c>
    </row>
    <row r="23" spans="1:7" ht="15.95">
      <c r="A23" s="2" t="s">
        <v>46</v>
      </c>
      <c r="B23" s="36">
        <f>('D1_Balance Sheet'!B22/'D1_Balance Sheet'!$B$19)</f>
        <v>0</v>
      </c>
      <c r="C23" s="36">
        <f>('D1_Balance Sheet'!C22/'D1_Balance Sheet'!$C$19)</f>
        <v>0</v>
      </c>
      <c r="D23" s="36">
        <f>('D1_Balance Sheet'!D23/'D1_Balance Sheet'!$D$19)</f>
        <v>0.17998609637408072</v>
      </c>
      <c r="E23" s="36">
        <f>('D1_Balance Sheet'!E22/'D1_Balance Sheet'!$E$19)</f>
        <v>0</v>
      </c>
      <c r="F23" s="36">
        <f>('D1_Balance Sheet'!F22/'D1_Balance Sheet'!$F$19)</f>
        <v>0</v>
      </c>
      <c r="G23" s="36">
        <f>('D1_Balance Sheet'!G22/'D1_Balance Sheet'!$G$19)</f>
        <v>0</v>
      </c>
    </row>
    <row r="24" spans="1:7" ht="15.95">
      <c r="A24" s="2" t="s">
        <v>47</v>
      </c>
      <c r="B24" s="36">
        <f>('D1_Balance Sheet'!B23/'D1_Balance Sheet'!$B$19)</f>
        <v>0.1789735786415825</v>
      </c>
      <c r="C24" s="36">
        <f>('D1_Balance Sheet'!C23/'D1_Balance Sheet'!$C$19)</f>
        <v>0.18651383609868302</v>
      </c>
      <c r="D24" s="36">
        <f>('D1_Balance Sheet'!D23/'D1_Balance Sheet'!$C$19)</f>
        <v>0.17248488758608116</v>
      </c>
      <c r="E24" s="36">
        <f>('D1_Balance Sheet'!E23/'D1_Balance Sheet'!$E$19)</f>
        <v>0.19318910131153177</v>
      </c>
      <c r="F24" s="36">
        <f>('D1_Balance Sheet'!F23/'D1_Balance Sheet'!$F$19)</f>
        <v>0.1809753535510728</v>
      </c>
      <c r="G24" s="36">
        <f>('D1_Balance Sheet'!G23/'D1_Balance Sheet'!$G$19)</f>
        <v>0.18696704719356733</v>
      </c>
    </row>
    <row r="25" spans="1:7" ht="15.95">
      <c r="A25" s="2" t="s">
        <v>48</v>
      </c>
      <c r="B25" s="36">
        <f>('D1_Balance Sheet'!B24/'D1_Balance Sheet'!$B$19)</f>
        <v>8.9255083690690282E-2</v>
      </c>
      <c r="C25" s="36">
        <f>('D1_Balance Sheet'!C24/'D1_Balance Sheet'!$C$19)</f>
        <v>8.4601467061249103E-2</v>
      </c>
      <c r="D25" s="36">
        <f>('D1_Balance Sheet'!D24/'D1_Balance Sheet'!$D$19)</f>
        <v>9.5100801287914816E-2</v>
      </c>
      <c r="E25" s="36">
        <f>('D1_Balance Sheet'!E24/'D1_Balance Sheet'!$E$19)</f>
        <v>0.10006487314564412</v>
      </c>
      <c r="F25" s="36">
        <f>('D1_Balance Sheet'!F24/'D1_Balance Sheet'!$F$19)</f>
        <v>8.6949248156865791E-2</v>
      </c>
      <c r="G25" s="36">
        <f>('D1_Balance Sheet'!G24/'D1_Balance Sheet'!$G$19)</f>
        <v>8.3079835815925263E-2</v>
      </c>
    </row>
    <row r="26" spans="1:7" ht="15.95">
      <c r="A26" s="2" t="s">
        <v>49</v>
      </c>
      <c r="B26" s="36">
        <f>('D1_Balance Sheet'!B25/'D1_Balance Sheet'!$B$19)</f>
        <v>0.10990109282058376</v>
      </c>
      <c r="C26" s="36">
        <f>('D1_Balance Sheet'!C25/'D1_Balance Sheet'!$C$19)</f>
        <v>9.7413708467159424E-2</v>
      </c>
      <c r="D26" s="36">
        <f>('D1_Balance Sheet'!D25/'D1_Balance Sheet'!$D$19)</f>
        <v>9.4654421718927226E-2</v>
      </c>
      <c r="E26" s="36">
        <f>('D1_Balance Sheet'!E25/'D1_Balance Sheet'!$E$19)</f>
        <v>8.2447515280361414E-2</v>
      </c>
      <c r="F26" s="36">
        <f>('D1_Balance Sheet'!F25/'D1_Balance Sheet'!$F$19)</f>
        <v>7.2698270663528311E-2</v>
      </c>
      <c r="G26" s="36">
        <f>('D1_Balance Sheet'!G25/'D1_Balance Sheet'!$G$19)</f>
        <v>8.8471568990612176E-2</v>
      </c>
    </row>
    <row r="27" spans="1:7" ht="15.95">
      <c r="A27" s="2" t="s">
        <v>50</v>
      </c>
      <c r="B27" s="36">
        <f>('D1_Balance Sheet'!B26/'D1_Balance Sheet'!$B$19)</f>
        <v>0.39732328122838567</v>
      </c>
      <c r="C27" s="36">
        <f>('D1_Balance Sheet'!C26/'D1_Balance Sheet'!$C$19)</f>
        <v>0.37468618073184756</v>
      </c>
      <c r="D27" s="36">
        <f>('D1_Balance Sheet'!D26/'D1_Balance Sheet'!$D$19)</f>
        <v>0.37148659031868575</v>
      </c>
      <c r="E27" s="36">
        <f>('D1_Balance Sheet'!E26/'D1_Balance Sheet'!$E$19)</f>
        <v>0.3785543449375498</v>
      </c>
      <c r="F27" s="36">
        <f>('D1_Balance Sheet'!F26/'D1_Balance Sheet'!$F$19)</f>
        <v>0.3529752757406579</v>
      </c>
      <c r="G27" s="36">
        <f>('D1_Balance Sheet'!G26/'D1_Balance Sheet'!$G$19)</f>
        <v>0.36365949390296376</v>
      </c>
    </row>
    <row r="28" spans="1:7" ht="15.95">
      <c r="A28" s="2" t="s">
        <v>51</v>
      </c>
      <c r="B28" s="36">
        <f>('D1_Balance Sheet'!B27/'D1_Balance Sheet'!$B$19)</f>
        <v>0</v>
      </c>
      <c r="C28" s="36">
        <f>('D1_Balance Sheet'!C27/'D1_Balance Sheet'!$C$19)</f>
        <v>0</v>
      </c>
      <c r="D28" s="36">
        <f>('D1_Balance Sheet'!D27/'D1_Balance Sheet'!$D$19)</f>
        <v>0</v>
      </c>
      <c r="E28" s="36">
        <f>('D1_Balance Sheet'!E27/'D1_Balance Sheet'!$E$19)</f>
        <v>0</v>
      </c>
      <c r="F28" s="36">
        <f>('D1_Balance Sheet'!F27/'D1_Balance Sheet'!$F$19)</f>
        <v>0</v>
      </c>
      <c r="G28" s="36">
        <f>('D1_Balance Sheet'!G27/'D1_Balance Sheet'!$G$19)</f>
        <v>0</v>
      </c>
    </row>
    <row r="29" spans="1:7" ht="15.95">
      <c r="A29" s="2" t="s">
        <v>45</v>
      </c>
      <c r="B29" s="36">
        <f>('D1_Balance Sheet'!B28/'D1_Balance Sheet'!$B$19)</f>
        <v>5.6608797897357864E-2</v>
      </c>
      <c r="C29" s="36">
        <f>('D1_Balance Sheet'!C28/'D1_Balance Sheet'!$C$19)</f>
        <v>6.6263201447425632E-2</v>
      </c>
      <c r="D29" s="36">
        <f>('D1_Balance Sheet'!D28/'D1_Balance Sheet'!$D$19)</f>
        <v>7.1226812044930671E-2</v>
      </c>
      <c r="E29" s="36">
        <f>('D1_Balance Sheet'!E28/'D1_Balance Sheet'!$E$19)</f>
        <v>7.5033999781150829E-2</v>
      </c>
      <c r="F29" s="36">
        <f>('D1_Balance Sheet'!F28/'D1_Balance Sheet'!$F$19)</f>
        <v>6.6916956834672317E-2</v>
      </c>
      <c r="G29" s="36">
        <f>('D1_Balance Sheet'!G28/'D1_Balance Sheet'!$G$19)</f>
        <v>8.4685008287778613E-2</v>
      </c>
    </row>
    <row r="30" spans="1:7" ht="15.95">
      <c r="A30" s="2" t="s">
        <v>40</v>
      </c>
      <c r="B30" s="36">
        <f>('D1_Balance Sheet'!B29/'D1_Balance Sheet'!$B$19)</f>
        <v>4.6825287038317889E-3</v>
      </c>
      <c r="C30" s="36">
        <f>('D1_Balance Sheet'!C29/'D1_Balance Sheet'!$C$19)</f>
        <v>3.7658312178291422E-3</v>
      </c>
      <c r="D30" s="36">
        <f>('D1_Balance Sheet'!D29/'D1_Balance Sheet'!$D$19)</f>
        <v>3.6771431707584793E-3</v>
      </c>
      <c r="E30" s="36">
        <f>('D1_Balance Sheet'!E29/'D1_Balance Sheet'!$E$19)</f>
        <v>6.0535242531772207E-3</v>
      </c>
      <c r="F30" s="36">
        <f>('D1_Balance Sheet'!F29/'D1_Balance Sheet'!$F$19)</f>
        <v>6.1509132997451706E-3</v>
      </c>
      <c r="G30" s="36">
        <f>('D1_Balance Sheet'!G29/'D1_Balance Sheet'!$G$19)</f>
        <v>2.01301349617041E-3</v>
      </c>
    </row>
    <row r="31" spans="1:7" ht="15.95">
      <c r="A31" s="2" t="s">
        <v>52</v>
      </c>
      <c r="B31" s="36">
        <f>('D1_Balance Sheet'!B30/'D1_Balance Sheet'!$B$19)</f>
        <v>9.683220362429105E-5</v>
      </c>
      <c r="C31" s="36">
        <f>('D1_Balance Sheet'!C30/'D1_Balance Sheet'!$C$19)</f>
        <v>8.0646292374367108E-5</v>
      </c>
      <c r="D31" s="36">
        <f>('D1_Balance Sheet'!D30/'D1_Balance Sheet'!$D$19)</f>
        <v>9.1471223153196001E-5</v>
      </c>
      <c r="E31" s="36">
        <f>('D1_Balance Sheet'!E30/'D1_Balance Sheet'!$E$19)</f>
        <v>-2.9310156164512042E-4</v>
      </c>
      <c r="F31" s="36">
        <f>('D1_Balance Sheet'!F30/'D1_Balance Sheet'!$F$19)</f>
        <v>4.0072363685879353E-4</v>
      </c>
      <c r="G31" s="36">
        <f>('D1_Balance Sheet'!G30/'D1_Balance Sheet'!$G$19)</f>
        <v>4.5274095359966476E-4</v>
      </c>
    </row>
    <row r="32" spans="1:7" ht="15.95">
      <c r="A32" s="2" t="s">
        <v>46</v>
      </c>
      <c r="B32" s="36">
        <f>('D1_Balance Sheet'!B31/'D1_Balance Sheet'!$B$19)</f>
        <v>0</v>
      </c>
      <c r="C32" s="36">
        <f>('D1_Balance Sheet'!C31/'D1_Balance Sheet'!$C$19)</f>
        <v>0</v>
      </c>
      <c r="D32" s="36">
        <f>('D1_Balance Sheet'!D32/'D1_Balance Sheet'!$D$19)</f>
        <v>0.29305550473820935</v>
      </c>
      <c r="E32" s="36">
        <f>('D1_Balance Sheet'!E31/'D1_Balance Sheet'!$E$19)</f>
        <v>0</v>
      </c>
      <c r="F32" s="36">
        <f>('D1_Balance Sheet'!F31/'D1_Balance Sheet'!$F$19)</f>
        <v>0</v>
      </c>
      <c r="G32" s="36">
        <f>('D1_Balance Sheet'!G31/'D1_Balance Sheet'!$G$19)</f>
        <v>0</v>
      </c>
    </row>
    <row r="33" spans="1:7" ht="15.95">
      <c r="A33" s="2" t="s">
        <v>53</v>
      </c>
      <c r="B33" s="36">
        <f>('D1_Balance Sheet'!B32/'D1_Balance Sheet'!$B$19)</f>
        <v>0.31008784064185918</v>
      </c>
      <c r="C33" s="36">
        <f>('D1_Balance Sheet'!C32/'D1_Balance Sheet'!$C$19)</f>
        <v>0.2969010785565015</v>
      </c>
      <c r="D33" s="36">
        <f>('D1_Balance Sheet'!D32/'D1_Balance Sheet'!$C$19)</f>
        <v>0.28084194729238837</v>
      </c>
      <c r="E33" s="36">
        <f>('D1_Balance Sheet'!E32/'D1_Balance Sheet'!$E$19)</f>
        <v>0.27201778931078147</v>
      </c>
      <c r="F33" s="36">
        <f>('D1_Balance Sheet'!F32/'D1_Balance Sheet'!$F$19)</f>
        <v>0.27700507712957378</v>
      </c>
      <c r="G33" s="36">
        <f>('D1_Balance Sheet'!G32/'D1_Balance Sheet'!$G$19)</f>
        <v>0.32817358312660655</v>
      </c>
    </row>
    <row r="34" spans="1:7" ht="15.95">
      <c r="A34" s="2" t="s">
        <v>49</v>
      </c>
      <c r="B34" s="36">
        <f>('D1_Balance Sheet'!B33/'D1_Balance Sheet'!$B$19)</f>
        <v>0.1068681698713515</v>
      </c>
      <c r="C34" s="36">
        <f>('D1_Balance Sheet'!C33/'D1_Balance Sheet'!$C$19)</f>
        <v>0.10109538703207618</v>
      </c>
      <c r="D34" s="36">
        <f>('D1_Balance Sheet'!D33/'D1_Balance Sheet'!$D$19)</f>
        <v>0.10396253338699644</v>
      </c>
      <c r="E34" s="36">
        <f>('D1_Balance Sheet'!E33/'D1_Balance Sheet'!$E$19)</f>
        <v>9.9642806896875144E-2</v>
      </c>
      <c r="F34" s="36">
        <f>('D1_Balance Sheet'!F33/'D1_Balance Sheet'!$F$19)</f>
        <v>0.10778687727352305</v>
      </c>
      <c r="G34" s="36">
        <f>('D1_Balance Sheet'!G33/'D1_Balance Sheet'!$G$19)</f>
        <v>0.10618459109260237</v>
      </c>
    </row>
    <row r="35" spans="1:7" ht="15.95">
      <c r="A35" s="3" t="s">
        <v>54</v>
      </c>
      <c r="B35" s="36">
        <f>('D1_Balance Sheet'!B34/'D1_Balance Sheet'!$B$19)</f>
        <v>0</v>
      </c>
      <c r="C35" s="36">
        <f>('D1_Balance Sheet'!C34/'D1_Balance Sheet'!$C$19)</f>
        <v>0</v>
      </c>
      <c r="D35" s="36">
        <f>('D1_Balance Sheet'!D34/'D1_Balance Sheet'!$D$19)</f>
        <v>0</v>
      </c>
      <c r="E35" s="36">
        <f>('D1_Balance Sheet'!E34/'D1_Balance Sheet'!$E$19)</f>
        <v>0</v>
      </c>
      <c r="F35" s="36">
        <f>('D1_Balance Sheet'!F34/'D1_Balance Sheet'!$F$19)</f>
        <v>0</v>
      </c>
      <c r="G35" s="36">
        <f>('D1_Balance Sheet'!G34/'D1_Balance Sheet'!$G$19)</f>
        <v>0</v>
      </c>
    </row>
    <row r="36" spans="1:7" ht="15.95">
      <c r="A36" s="2" t="s">
        <v>55</v>
      </c>
      <c r="B36" s="36">
        <f>('D1_Balance Sheet'!B35/'D1_Balance Sheet'!$B$19)</f>
        <v>3.4582929865818233E-6</v>
      </c>
      <c r="C36" s="36">
        <f>('D1_Balance Sheet'!C35/'D1_Balance Sheet'!$C$19)</f>
        <v>3.5063605380159609E-6</v>
      </c>
      <c r="D36" s="36">
        <f>('D1_Balance Sheet'!D35/'D1_Balance Sheet'!$D$19)</f>
        <v>3.65884892612784E-6</v>
      </c>
      <c r="E36" s="36">
        <f>('D1_Balance Sheet'!E35/'D1_Balance Sheet'!$E$19)</f>
        <v>3.9080208219349394E-6</v>
      </c>
      <c r="F36" s="36">
        <f>('D1_Balance Sheet'!F35/'D1_Balance Sheet'!$F$19)</f>
        <v>3.8905207462018792E-6</v>
      </c>
      <c r="G36" s="36">
        <f>('D1_Balance Sheet'!G35/'D1_Balance Sheet'!$G$19)</f>
        <v>3.7416607735509484E-6</v>
      </c>
    </row>
    <row r="37" spans="1:7" ht="15.95">
      <c r="A37" s="2" t="s">
        <v>55</v>
      </c>
      <c r="B37" s="36">
        <f>('D1_Balance Sheet'!B36/'D1_Balance Sheet'!$B$19)</f>
        <v>1.4179001244985474E-4</v>
      </c>
      <c r="C37" s="36">
        <f>('D1_Balance Sheet'!C36/'D1_Balance Sheet'!$C$19)</f>
        <v>1.437607820586544E-4</v>
      </c>
      <c r="D37" s="36">
        <f>('D1_Balance Sheet'!D36/'D1_Balance Sheet'!$D$19)</f>
        <v>1.5001280597124145E-4</v>
      </c>
      <c r="E37" s="36">
        <f>('D1_Balance Sheet'!E36/'D1_Balance Sheet'!$E$19)</f>
        <v>1.602288536993325E-4</v>
      </c>
      <c r="F37" s="36">
        <f>('D1_Balance Sheet'!F36/'D1_Balance Sheet'!$F$19)</f>
        <v>1.5562082984807516E-4</v>
      </c>
      <c r="G37" s="36">
        <f>('D1_Balance Sheet'!G36/'D1_Balance Sheet'!$G$19)</f>
        <v>1.4966643094203793E-4</v>
      </c>
    </row>
    <row r="38" spans="1:7" ht="15.95">
      <c r="A38" s="2" t="s">
        <v>56</v>
      </c>
      <c r="B38" s="36">
        <f>('D1_Balance Sheet'!B37/'D1_Balance Sheet'!$B$19)</f>
        <v>8.272928482501038E-2</v>
      </c>
      <c r="C38" s="36">
        <f>('D1_Balance Sheet'!C37/'D1_Balance Sheet'!$C$19)</f>
        <v>8.240648536445111E-2</v>
      </c>
      <c r="D38" s="36">
        <f>('D1_Balance Sheet'!D37/'D1_Balance Sheet'!$D$19)</f>
        <v>8.462185796348469E-2</v>
      </c>
      <c r="E38" s="36">
        <f>('D1_Balance Sheet'!E37/'D1_Balance Sheet'!$E$19)</f>
        <v>8.9227931406418534E-2</v>
      </c>
      <c r="F38" s="36">
        <f>('D1_Balance Sheet'!F37/'D1_Balance Sheet'!$F$19)</f>
        <v>8.7968564592370693E-2</v>
      </c>
      <c r="G38" s="36">
        <f>('D1_Balance Sheet'!G37/'D1_Balance Sheet'!$G$19)</f>
        <v>8.3401618642450645E-2</v>
      </c>
    </row>
    <row r="39" spans="1:7" ht="15.95">
      <c r="A39" s="2" t="s">
        <v>57</v>
      </c>
      <c r="B39" s="36">
        <f>('D1_Balance Sheet'!B38/'D1_Balance Sheet'!$B$19)</f>
        <v>-9.7178032922949232E-3</v>
      </c>
      <c r="C39" s="36">
        <f>('D1_Balance Sheet'!C38/'D1_Balance Sheet'!$C$19)</f>
        <v>-9.8528731118248496E-3</v>
      </c>
      <c r="D39" s="36">
        <f>('D1_Balance Sheet'!D38/'D1_Balance Sheet'!$D$19)</f>
        <v>-8.7226958398887704E-3</v>
      </c>
      <c r="E39" s="36">
        <f>('D1_Balance Sheet'!E38/'D1_Balance Sheet'!$E$19)</f>
        <v>-7.9997186225008211E-3</v>
      </c>
      <c r="F39" s="36">
        <f>('D1_Balance Sheet'!F38/'D1_Balance Sheet'!$F$19)</f>
        <v>-6.0808839263135368E-3</v>
      </c>
      <c r="G39" s="36">
        <f>('D1_Balance Sheet'!G38/'D1_Balance Sheet'!$G$19)</f>
        <v>-5.9492406299460074E-3</v>
      </c>
    </row>
    <row r="40" spans="1:7" ht="15.95">
      <c r="A40" s="2" t="s">
        <v>58</v>
      </c>
      <c r="B40" s="36">
        <f>('D1_Balance Sheet'!B39/'D1_Balance Sheet'!$B$19)</f>
        <v>0</v>
      </c>
      <c r="C40" s="36">
        <f>('D1_Balance Sheet'!C39/'D1_Balance Sheet'!$C$19)</f>
        <v>0</v>
      </c>
      <c r="D40" s="36">
        <f>('D1_Balance Sheet'!D40/'D1_Balance Sheet'!$D$19)</f>
        <v>0.11353042332882075</v>
      </c>
      <c r="E40" s="36">
        <f>('D1_Balance Sheet'!E39/'D1_Balance Sheet'!$E$19)</f>
        <v>0</v>
      </c>
      <c r="F40" s="36">
        <f>('D1_Balance Sheet'!F39/'D1_Balance Sheet'!$F$19)</f>
        <v>0</v>
      </c>
      <c r="G40" s="36">
        <f>('D1_Balance Sheet'!G39/'D1_Balance Sheet'!$G$19)</f>
        <v>0</v>
      </c>
    </row>
    <row r="41" spans="1:7" ht="15.95">
      <c r="A41" s="2" t="s">
        <v>59</v>
      </c>
      <c r="B41" s="36">
        <f>('D1_Balance Sheet'!B40/'D1_Balance Sheet'!$B$19)</f>
        <v>7.7839258541983675E-2</v>
      </c>
      <c r="C41" s="36">
        <f>('D1_Balance Sheet'!C40/'D1_Balance Sheet'!$C$19)</f>
        <v>0.11830460455265852</v>
      </c>
      <c r="D41" s="36">
        <f>('D1_Balance Sheet'!D40/'D1_Balance Sheet'!$C$19)</f>
        <v>0.10879886113409726</v>
      </c>
      <c r="E41" s="36">
        <f>('D1_Balance Sheet'!E40/'D1_Balance Sheet'!$E$19)</f>
        <v>0.12409529317972207</v>
      </c>
      <c r="F41" s="36">
        <f>('D1_Balance Sheet'!F40/'D1_Balance Sheet'!$F$19)</f>
        <v>0.13916003657089501</v>
      </c>
      <c r="G41" s="36">
        <f>('D1_Balance Sheet'!G40/'D1_Balance Sheet'!$G$19)</f>
        <v>6.8259117491889953E-2</v>
      </c>
    </row>
    <row r="42" spans="1:7" ht="32.1">
      <c r="A42" s="2" t="s">
        <v>60</v>
      </c>
      <c r="B42" s="36">
        <f>('D1_Balance Sheet'!B41/'D1_Balance Sheet'!$B$19)</f>
        <v>-2.6663438926545859E-2</v>
      </c>
      <c r="C42" s="36">
        <f>('D1_Balance Sheet'!C41/'D1_Balance Sheet'!$C$19)</f>
        <v>-3.3797809225935845E-2</v>
      </c>
      <c r="D42" s="36">
        <f>('D1_Balance Sheet'!D41/'D1_Balance Sheet'!$D$19)</f>
        <v>-3.308331199004793E-2</v>
      </c>
      <c r="E42" s="36">
        <f>('D1_Balance Sheet'!E41/'D1_Balance Sheet'!$E$19)</f>
        <v>-3.6497006456050397E-2</v>
      </c>
      <c r="F42" s="36">
        <f>('D1_Balance Sheet'!F41/'D1_Balance Sheet'!$F$19)</f>
        <v>-3.2443052502577473E-2</v>
      </c>
      <c r="G42" s="36">
        <f>('D1_Balance Sheet'!G41/'D1_Balance Sheet'!$G$19)</f>
        <v>-3.1033334455831566E-2</v>
      </c>
    </row>
    <row r="43" spans="1:7" ht="15.95">
      <c r="A43" s="2" t="s">
        <v>61</v>
      </c>
      <c r="B43" s="36">
        <f>('D1_Balance Sheet'!B42/'D1_Balance Sheet'!$B$19)</f>
        <v>0.12433254945358971</v>
      </c>
      <c r="C43" s="36">
        <f>('D1_Balance Sheet'!C42/'D1_Balance Sheet'!$C$19)</f>
        <v>0.15720767472194561</v>
      </c>
      <c r="D43" s="36">
        <f>('D1_Balance Sheet'!D42/'D1_Balance Sheet'!$D$19)</f>
        <v>0.15649994511726611</v>
      </c>
      <c r="E43" s="36">
        <f>('D1_Balance Sheet'!E42/'D1_Balance Sheet'!$E$19)</f>
        <v>0.16899063638211065</v>
      </c>
      <c r="F43" s="36">
        <f>('D1_Balance Sheet'!F42/'D1_Balance Sheet'!$F$19)</f>
        <v>0.18876417608496898</v>
      </c>
      <c r="G43" s="36">
        <f>('D1_Balance Sheet'!G42/'D1_Balance Sheet'!$G$19)</f>
        <v>0.1148315691402786</v>
      </c>
    </row>
    <row r="44" spans="1:7">
      <c r="A44" t="s">
        <v>62</v>
      </c>
      <c r="B44" s="36">
        <f>('D1_Balance Sheet'!B43/'D1_Balance Sheet'!$B$19)</f>
        <v>1</v>
      </c>
      <c r="C44" s="36">
        <f>('D1_Balance Sheet'!C43/'D1_Balance Sheet'!$C$19)</f>
        <v>1</v>
      </c>
      <c r="D44" s="36">
        <f>('D1_Balance Sheet'!D43/'D1_Balance Sheet'!$D$19)</f>
        <v>1</v>
      </c>
      <c r="E44" s="36">
        <f>('D1_Balance Sheet'!E43/'D1_Balance Sheet'!$E$19)</f>
        <v>1</v>
      </c>
      <c r="F44" s="36">
        <f>('D1_Balance Sheet'!F43/'D1_Balance Sheet'!$F$19)</f>
        <v>1</v>
      </c>
      <c r="G44" s="36">
        <f>('D1_Balance Sheet'!G43/'D1_Balance Sheet'!$G$19)</f>
        <v>1</v>
      </c>
    </row>
    <row r="46" spans="1:7">
      <c r="A46" t="s">
        <v>66</v>
      </c>
      <c r="B46" s="39">
        <f t="shared" ref="B46:G46" si="0">1-B27-B43</f>
        <v>0.47834416931802459</v>
      </c>
      <c r="C46" s="39">
        <f t="shared" si="0"/>
        <v>0.4681061445462068</v>
      </c>
      <c r="D46" s="39">
        <f t="shared" si="0"/>
        <v>0.47201346456404819</v>
      </c>
      <c r="E46" s="39">
        <f t="shared" si="0"/>
        <v>0.45245501868033955</v>
      </c>
      <c r="F46" s="39">
        <f t="shared" si="0"/>
        <v>0.45826054817437312</v>
      </c>
      <c r="G46" s="39">
        <f t="shared" si="0"/>
        <v>0.5215089369567576</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
  <sheetViews>
    <sheetView topLeftCell="A6" workbookViewId="0"/>
  </sheetViews>
  <sheetFormatPr defaultColWidth="8.85546875" defaultRowHeight="15"/>
  <sheetData>
    <row r="1" spans="1:1">
      <c r="A1" t="s">
        <v>67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H32"/>
  <sheetViews>
    <sheetView workbookViewId="0">
      <selection activeCell="B7" sqref="B7"/>
    </sheetView>
  </sheetViews>
  <sheetFormatPr defaultColWidth="8.85546875" defaultRowHeight="15"/>
  <cols>
    <col min="1" max="1" width="56.140625" bestFit="1" customWidth="1"/>
    <col min="2" max="7" width="14" customWidth="1"/>
  </cols>
  <sheetData>
    <row r="1" spans="1:8">
      <c r="B1" s="1" t="s">
        <v>16</v>
      </c>
      <c r="C1" s="1" t="s">
        <v>17</v>
      </c>
      <c r="D1" s="1" t="s">
        <v>18</v>
      </c>
      <c r="E1" s="1" t="s">
        <v>19</v>
      </c>
      <c r="F1" s="1" t="s">
        <v>20</v>
      </c>
      <c r="G1" s="1" t="s">
        <v>21</v>
      </c>
      <c r="H1" s="1"/>
    </row>
    <row r="2" spans="1:8">
      <c r="B2" s="9">
        <v>2025</v>
      </c>
      <c r="C2" s="9">
        <v>2024</v>
      </c>
      <c r="D2" s="9">
        <v>2023</v>
      </c>
      <c r="E2" s="9">
        <v>2022</v>
      </c>
      <c r="F2" s="9">
        <v>2021</v>
      </c>
      <c r="G2" s="9">
        <v>2020</v>
      </c>
    </row>
    <row r="3" spans="1:8">
      <c r="A3" s="1" t="s">
        <v>68</v>
      </c>
      <c r="B3" s="45">
        <f>'D1_Balance Sheet'!B11-'D1_Balance Sheet'!B26</f>
        <v>8597</v>
      </c>
      <c r="C3" s="45">
        <f>'D1_Balance Sheet'!C11-'D1_Balance Sheet'!C26</f>
        <v>17615</v>
      </c>
      <c r="D3" s="45">
        <f>'D1_Balance Sheet'!D11-'D1_Balance Sheet'!D26</f>
        <v>19950</v>
      </c>
      <c r="E3" s="45">
        <f>'D1_Balance Sheet'!E11-'D1_Balance Sheet'!E26</f>
        <v>19610</v>
      </c>
      <c r="F3" s="45">
        <f>'D1_Balance Sheet'!F11-'D1_Balance Sheet'!F26</f>
        <v>18269</v>
      </c>
      <c r="G3" s="45">
        <f>'D1_Balance Sheet'!G11-'D1_Balance Sheet'!G26</f>
        <v>19552</v>
      </c>
    </row>
    <row r="4" spans="1:8">
      <c r="A4" s="1"/>
    </row>
    <row r="5" spans="1:8">
      <c r="A5" s="1" t="s">
        <v>69</v>
      </c>
      <c r="B5" s="45">
        <f>'D1_Balance Sheet'!B21+'D1_Balance Sheet'!B22+'D1_Balance Sheet'!B23</f>
        <v>57302</v>
      </c>
      <c r="C5" s="45">
        <f>'D1_Balance Sheet'!C21+'D1_Balance Sheet'!C22+'D1_Balance Sheet'!C23</f>
        <v>54949</v>
      </c>
      <c r="D5" s="45">
        <f>'D1_Balance Sheet'!D21+'D1_Balance Sheet'!D22+'D1_Balance Sheet'!D23</f>
        <v>49669</v>
      </c>
      <c r="E5" s="45">
        <f>'D1_Balance Sheet'!E21+'D1_Balance Sheet'!E22+'D1_Balance Sheet'!E23</f>
        <v>50164</v>
      </c>
      <c r="F5" s="45">
        <f>'D1_Balance Sheet'!F21+'D1_Balance Sheet'!F22+'D1_Balance Sheet'!F23</f>
        <v>49692</v>
      </c>
      <c r="G5" s="45">
        <f>'D1_Balance Sheet'!G21+'D1_Balance Sheet'!G22+'D1_Balance Sheet'!G23</f>
        <v>51343</v>
      </c>
    </row>
    <row r="6" spans="1:8">
      <c r="A6" s="1"/>
    </row>
    <row r="7" spans="1:8">
      <c r="A7" s="1" t="s">
        <v>70</v>
      </c>
      <c r="B7" s="45">
        <f>'D1_Balance Sheet'!B11-('D1_Balance Sheet'!B26-B5)</f>
        <v>65899</v>
      </c>
      <c r="C7" s="45">
        <f>'D1_Balance Sheet'!C11-('D1_Balance Sheet'!C26-C5)</f>
        <v>72564</v>
      </c>
      <c r="D7" s="45">
        <f>'D1_Balance Sheet'!D11-('D1_Balance Sheet'!D26-D5)</f>
        <v>69619</v>
      </c>
      <c r="E7" s="45">
        <f>'D1_Balance Sheet'!E11-('D1_Balance Sheet'!E26-E5)</f>
        <v>69774</v>
      </c>
      <c r="F7" s="45">
        <f>'D1_Balance Sheet'!F11-('D1_Balance Sheet'!F26-F5)</f>
        <v>67961</v>
      </c>
      <c r="G7" s="45">
        <f>'D1_Balance Sheet'!G11-('D1_Balance Sheet'!G26-G5)</f>
        <v>70895</v>
      </c>
    </row>
    <row r="8" spans="1:8">
      <c r="A8" s="1"/>
    </row>
    <row r="9" spans="1:8">
      <c r="A9" s="1" t="s">
        <v>71</v>
      </c>
      <c r="B9" s="45">
        <f>B7-C7</f>
        <v>-6665</v>
      </c>
      <c r="C9" s="45">
        <f>C7-D7</f>
        <v>2945</v>
      </c>
      <c r="D9" s="45">
        <f>D7-E7</f>
        <v>-155</v>
      </c>
      <c r="E9" s="45">
        <f>E7-F7</f>
        <v>1813</v>
      </c>
      <c r="F9" s="45">
        <f>F7-G7</f>
        <v>-2934</v>
      </c>
      <c r="G9" s="45"/>
    </row>
    <row r="10" spans="1:8">
      <c r="A10" s="1"/>
    </row>
    <row r="11" spans="1:8">
      <c r="A11" s="1" t="s">
        <v>72</v>
      </c>
      <c r="B11">
        <f>(D1_IncomeStatment!B28*(1-0.21)+D1_StatmentofCFs!B5)-('D2_Liquidity-NWCandNOWC'!B13+'D2_Liquidity-NWCandNOWC'!B9)</f>
        <v>4061.49</v>
      </c>
      <c r="C11">
        <f>(D1_IncomeStatment!C28*(1-0.21)+D1_StatmentofCFs!C5)-('D2_Liquidity-NWCandNOWC'!C13+'D2_Liquidity-NWCandNOWC'!C9)</f>
        <v>71.010000000000218</v>
      </c>
      <c r="D11">
        <f>(D1_IncomeStatment!D28*(1-0.21)+D1_StatmentofCFs!D5)-('D2_Liquidity-NWCandNOWC'!D13+'D2_Liquidity-NWCandNOWC'!D9)</f>
        <v>910.81999999999971</v>
      </c>
      <c r="E11">
        <f>(D1_IncomeStatment!E28*(1-0.21)+D1_StatmentofCFs!E5)-('D2_Liquidity-NWCandNOWC'!E13+'D2_Liquidity-NWCandNOWC'!E9)</f>
        <v>3019.0400000000009</v>
      </c>
      <c r="F11">
        <f>(D1_IncomeStatment!F28*(1-0.21)+D1_StatmentofCFs!F5)-('D2_Liquidity-NWCandNOWC'!F13+'D2_Liquidity-NWCandNOWC'!F9)</f>
        <v>6451.17</v>
      </c>
    </row>
    <row r="12" spans="1:8">
      <c r="A12" s="1"/>
    </row>
    <row r="13" spans="1:8">
      <c r="A13" s="1" t="s">
        <v>73</v>
      </c>
      <c r="B13" s="45">
        <f>'D1_Balance Sheet'!B13-'D1_Balance Sheet'!C13+D1_StatmentofCFs!B5</f>
        <v>3194</v>
      </c>
      <c r="C13" s="45">
        <f>'D1_Balance Sheet'!C13-'D1_Balance Sheet'!D13+D1_StatmentofCFs!C5</f>
        <v>8674</v>
      </c>
      <c r="D13" s="45">
        <f>'D1_Balance Sheet'!D13-'D1_Balance Sheet'!E13+D1_StatmentofCFs!D5</f>
        <v>11246</v>
      </c>
      <c r="E13" s="45">
        <f>'D1_Balance Sheet'!E13-'D1_Balance Sheet'!F13+D1_StatmentofCFs!E5</f>
        <v>7768</v>
      </c>
      <c r="F13" s="45">
        <f>'D1_Balance Sheet'!F13-'D1_Balance Sheet'!G13+D1_StatmentofCFs!F5</f>
        <v>7374</v>
      </c>
      <c r="G13" s="45"/>
    </row>
    <row r="20" spans="1:8">
      <c r="B20" s="1" t="s">
        <v>16</v>
      </c>
      <c r="C20" s="1" t="s">
        <v>17</v>
      </c>
      <c r="D20" s="1" t="s">
        <v>18</v>
      </c>
      <c r="E20" s="1" t="s">
        <v>19</v>
      </c>
      <c r="F20" s="1" t="s">
        <v>20</v>
      </c>
      <c r="G20" s="1" t="s">
        <v>21</v>
      </c>
    </row>
    <row r="21" spans="1:8">
      <c r="B21" s="9">
        <v>2025</v>
      </c>
      <c r="C21" s="9">
        <v>2024</v>
      </c>
      <c r="D21" s="9">
        <v>2023</v>
      </c>
      <c r="E21" s="9">
        <v>2022</v>
      </c>
      <c r="F21" s="9">
        <v>2021</v>
      </c>
      <c r="G21" s="9">
        <v>2020</v>
      </c>
    </row>
    <row r="22" spans="1:8">
      <c r="A22" s="1" t="s">
        <v>68</v>
      </c>
      <c r="B22" s="45">
        <f>('D1_Balance Sheet'!B11-'D1_Balance Sheet'!B8)-('D1_Balance Sheet'!B26-'D1_Balance Sheet'!B23)</f>
        <v>11219</v>
      </c>
      <c r="C22" s="45">
        <f>('D1_Balance Sheet'!C11-'D1_Balance Sheet'!C8)-('D1_Balance Sheet'!C26-'D1_Balance Sheet'!C23)</f>
        <v>18958</v>
      </c>
      <c r="D22" s="45">
        <f>('D1_Balance Sheet'!D11-'D1_Balance Sheet'!D8)-('D1_Balance Sheet'!D26-'D1_Balance Sheet'!D23)</f>
        <v>22717</v>
      </c>
      <c r="E22" s="45">
        <f>('D1_Balance Sheet'!E11-'D1_Balance Sheet'!E8)-('D1_Balance Sheet'!E26-'D1_Balance Sheet'!E23)</f>
        <v>30324</v>
      </c>
      <c r="F22" s="45">
        <f>('D1_Balance Sheet'!F11-'D1_Balance Sheet'!F8)-('D1_Balance Sheet'!F26-'D1_Balance Sheet'!F23)</f>
        <v>32243</v>
      </c>
      <c r="G22" s="45">
        <f>('D1_Balance Sheet'!G11-'D1_Balance Sheet'!G8)-('D1_Balance Sheet'!G26-'D1_Balance Sheet'!G23)</f>
        <v>27120</v>
      </c>
    </row>
    <row r="23" spans="1:8">
      <c r="A23" s="61" t="s">
        <v>74</v>
      </c>
    </row>
    <row r="24" spans="1:8">
      <c r="A24" s="1"/>
      <c r="B24" s="45"/>
      <c r="C24" s="45"/>
      <c r="D24" s="45"/>
      <c r="E24" s="45"/>
      <c r="F24" s="45"/>
      <c r="G24" s="45"/>
    </row>
    <row r="25" spans="1:8">
      <c r="A25" s="1"/>
    </row>
    <row r="26" spans="1:8">
      <c r="A26" s="1" t="s">
        <v>70</v>
      </c>
      <c r="B26" s="45">
        <f>('D1_Balance Sheet'!B11-'D1_Balance Sheet'!B8)-(('D1_Balance Sheet'!B26-'D1_Balance Sheet'!B23)-'D1_Balance Sheet'!B21)</f>
        <v>16769</v>
      </c>
      <c r="C26" s="45">
        <f>('D1_Balance Sheet'!C11-'D1_Balance Sheet'!C8)-(('D1_Balance Sheet'!C26-'D1_Balance Sheet'!C23)-'D1_Balance Sheet'!C21)</f>
        <v>20714</v>
      </c>
      <c r="D26" s="45">
        <f>('D1_Balance Sheet'!D11-'D1_Balance Sheet'!D8)-(('D1_Balance Sheet'!D26-'D1_Balance Sheet'!D23)-'D1_Balance Sheet'!D21)</f>
        <v>23194</v>
      </c>
      <c r="E26" s="45">
        <f>('D1_Balance Sheet'!E11-'D1_Balance Sheet'!E8)-(('D1_Balance Sheet'!E26-'D1_Balance Sheet'!E23)-'D1_Balance Sheet'!E21)</f>
        <v>31054</v>
      </c>
      <c r="F26" s="45">
        <f>('D1_Balance Sheet'!F11-'D1_Balance Sheet'!F8)-(('D1_Balance Sheet'!F26-'D1_Balance Sheet'!F23)-'D1_Balance Sheet'!F21)</f>
        <v>35418</v>
      </c>
      <c r="G26" s="45">
        <f>('D1_Balance Sheet'!G11-'D1_Balance Sheet'!G8)-(('D1_Balance Sheet'!G26-'D1_Balance Sheet'!G23)-'D1_Balance Sheet'!G21)</f>
        <v>28494</v>
      </c>
    </row>
    <row r="27" spans="1:8">
      <c r="A27" s="1"/>
    </row>
    <row r="28" spans="1:8">
      <c r="A28" s="1" t="s">
        <v>71</v>
      </c>
      <c r="B28" s="45">
        <f t="shared" ref="B28:G28" si="0">B26-C26</f>
        <v>-3945</v>
      </c>
      <c r="C28" s="45">
        <f t="shared" si="0"/>
        <v>-2480</v>
      </c>
      <c r="D28" s="45">
        <f t="shared" si="0"/>
        <v>-7860</v>
      </c>
      <c r="E28" s="45">
        <f t="shared" si="0"/>
        <v>-4364</v>
      </c>
      <c r="F28" s="45">
        <f t="shared" si="0"/>
        <v>6924</v>
      </c>
      <c r="G28" s="45">
        <f t="shared" si="0"/>
        <v>28494</v>
      </c>
    </row>
    <row r="29" spans="1:8">
      <c r="A29" s="1"/>
    </row>
    <row r="30" spans="1:8">
      <c r="A30" s="1" t="s">
        <v>72</v>
      </c>
      <c r="B30">
        <f>(D1_IncomeStatment!B28*(1-0.21)+D1_StatmentofCFs!B5)-('D2_Liquidity-NWCandNOWC'!B32+'D2_Liquidity-NWCandNOWC'!B28)</f>
        <v>1341.4899999999998</v>
      </c>
      <c r="C30">
        <f>(D1_IncomeStatment!C28*(1-0.21)+D1_StatmentofCFs!C5)-('D2_Liquidity-NWCandNOWC'!C32+'D2_Liquidity-NWCandNOWC'!C28)</f>
        <v>5496.01</v>
      </c>
      <c r="D30">
        <f>(D1_IncomeStatment!D28*(1-0.21)+D1_StatmentofCFs!D5)-('D2_Liquidity-NWCandNOWC'!D32+'D2_Liquidity-NWCandNOWC'!D28)</f>
        <v>8615.82</v>
      </c>
      <c r="E30">
        <f>(D1_IncomeStatment!E28*(1-0.21)+D1_StatmentofCFs!E5)-('D2_Liquidity-NWCandNOWC'!E32+'D2_Liquidity-NWCandNOWC'!E28)</f>
        <v>9196.0400000000009</v>
      </c>
      <c r="F30">
        <f>(D1_IncomeStatment!F28*(1-0.21)+D1_StatmentofCFs!F5)-('D2_Liquidity-NWCandNOWC'!F32+'D2_Liquidity-NWCandNOWC'!F28)</f>
        <v>-3406.83</v>
      </c>
    </row>
    <row r="31" spans="1:8">
      <c r="A31" s="1"/>
    </row>
    <row r="32" spans="1:8">
      <c r="A32" s="1" t="s">
        <v>73</v>
      </c>
      <c r="B32" s="45">
        <f>'D1_Balance Sheet'!B13-'D1_Balance Sheet'!C13+D1_StatmentofCFs!B5</f>
        <v>3194</v>
      </c>
      <c r="C32" s="45">
        <f>'D1_Balance Sheet'!C13-'D1_Balance Sheet'!D13+D1_StatmentofCFs!C5</f>
        <v>8674</v>
      </c>
      <c r="D32" s="45">
        <f>'D1_Balance Sheet'!D13-'D1_Balance Sheet'!E13+D1_StatmentofCFs!D5</f>
        <v>11246</v>
      </c>
      <c r="E32" s="45">
        <f>'D1_Balance Sheet'!E13-'D1_Balance Sheet'!F13+D1_StatmentofCFs!E5</f>
        <v>7768</v>
      </c>
      <c r="F32" s="45">
        <f>'D1_Balance Sheet'!F13-'D1_Balance Sheet'!G13+D1_StatmentofCFs!F5</f>
        <v>7374</v>
      </c>
      <c r="G32" s="45"/>
      <c r="H32" s="45"/>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S21"/>
  <sheetViews>
    <sheetView topLeftCell="B6" workbookViewId="0">
      <selection activeCell="J24" sqref="J24"/>
    </sheetView>
  </sheetViews>
  <sheetFormatPr defaultColWidth="8.85546875" defaultRowHeight="15"/>
  <cols>
    <col min="1" max="1" width="34.140625" customWidth="1"/>
    <col min="2" max="8" width="14" customWidth="1"/>
    <col min="10" max="10" width="8.85546875" bestFit="1" customWidth="1"/>
  </cols>
  <sheetData>
    <row r="1" spans="1:19">
      <c r="A1" s="1" t="s">
        <v>15</v>
      </c>
      <c r="B1" s="1">
        <v>2025</v>
      </c>
      <c r="C1" s="1">
        <v>2024</v>
      </c>
      <c r="D1" s="1">
        <v>2023</v>
      </c>
      <c r="E1" s="1">
        <v>2022</v>
      </c>
      <c r="F1" s="1">
        <v>2021</v>
      </c>
      <c r="G1" s="1">
        <v>2020</v>
      </c>
      <c r="H1" s="1"/>
      <c r="M1" t="s">
        <v>75</v>
      </c>
      <c r="N1">
        <v>2020</v>
      </c>
      <c r="O1">
        <v>2021</v>
      </c>
      <c r="P1">
        <v>2022</v>
      </c>
      <c r="Q1">
        <v>2023</v>
      </c>
      <c r="R1">
        <v>2024</v>
      </c>
      <c r="S1">
        <v>2025</v>
      </c>
    </row>
    <row r="2" spans="1:19">
      <c r="B2" s="9"/>
      <c r="C2" s="9"/>
      <c r="D2" s="9"/>
      <c r="E2" s="9"/>
      <c r="F2" s="9"/>
      <c r="G2" s="9"/>
      <c r="M2" t="s">
        <v>28</v>
      </c>
      <c r="N2">
        <v>25243</v>
      </c>
      <c r="O2">
        <v>20540</v>
      </c>
      <c r="P2">
        <v>25134</v>
      </c>
      <c r="Q2">
        <v>24862</v>
      </c>
      <c r="R2" s="4">
        <v>22935</v>
      </c>
      <c r="S2" s="4">
        <v>23356</v>
      </c>
    </row>
    <row r="3" spans="1:19" ht="15.95">
      <c r="A3" s="46" t="s">
        <v>27</v>
      </c>
      <c r="B3" s="47"/>
      <c r="C3" s="47"/>
      <c r="D3" s="47"/>
      <c r="E3" s="47"/>
      <c r="F3" s="47"/>
      <c r="G3" s="48" t="s">
        <v>76</v>
      </c>
      <c r="K3" s="28"/>
      <c r="M3" t="s">
        <v>77</v>
      </c>
      <c r="N3" t="s">
        <v>76</v>
      </c>
      <c r="O3" s="39">
        <f>F4</f>
        <v>-0.18630907578338549</v>
      </c>
      <c r="P3" s="39">
        <f>E4</f>
        <v>0.22366114897760467</v>
      </c>
      <c r="Q3" s="39">
        <f>D4</f>
        <v>-1.0821994111562027E-2</v>
      </c>
      <c r="R3" s="39">
        <f>C4</f>
        <v>-7.7507843294988332E-2</v>
      </c>
      <c r="S3" s="39">
        <f>B4</f>
        <v>1.8356224111619794E-2</v>
      </c>
    </row>
    <row r="4" spans="1:19" ht="15.95">
      <c r="A4" s="54" t="s">
        <v>28</v>
      </c>
      <c r="B4" s="55">
        <f>('D1_Balance Sheet'!$B$4-'D1_Balance Sheet'!$C$4)/ABS('D1_Balance Sheet'!$C$4)</f>
        <v>1.8356224111619794E-2</v>
      </c>
      <c r="C4" s="55">
        <f>('D1_Balance Sheet'!$C$4-'D1_Balance Sheet'!$D$4)/ABS('D1_Balance Sheet'!$D$4)</f>
        <v>-7.7507843294988332E-2</v>
      </c>
      <c r="D4" s="55">
        <f>('D1_Balance Sheet'!D4-'D1_Balance Sheet'!E4)/ABS('D1_Balance Sheet'!E4)</f>
        <v>-1.0821994111562027E-2</v>
      </c>
      <c r="E4" s="55">
        <f>('D1_Balance Sheet'!E4-'D1_Balance Sheet'!F4)/ABS('D1_Balance Sheet'!F4)</f>
        <v>0.22366114897760467</v>
      </c>
      <c r="F4" s="55">
        <f>('D1_Balance Sheet'!F4-'D1_Balance Sheet'!G4)/ABS('D1_Balance Sheet'!G4)</f>
        <v>-0.18630907578338549</v>
      </c>
      <c r="G4" s="56" t="s">
        <v>76</v>
      </c>
    </row>
    <row r="5" spans="1:19" ht="15.95">
      <c r="A5" s="49" t="s">
        <v>30</v>
      </c>
      <c r="B5" s="50">
        <f>('D1_Balance Sheet'!B6-'D1_Balance Sheet'!C6)/ABS('D1_Balance Sheet'!C6)</f>
        <v>4.5846634517421721E-2</v>
      </c>
      <c r="C5" s="50">
        <f>('D1_Balance Sheet'!C6-'D1_Balance Sheet'!D6)/ABS('D1_Balance Sheet'!D6)</f>
        <v>-5.6278443689507081E-2</v>
      </c>
      <c r="D5" s="50">
        <f>('D1_Balance Sheet'!D6-'D1_Balance Sheet'!E6)/ABS('D1_Balance Sheet'!E6)</f>
        <v>-8.1378345730815684E-3</v>
      </c>
      <c r="E5" s="50">
        <f>('D1_Balance Sheet'!E6-'D1_Balance Sheet'!F6)/ABS('D1_Balance Sheet'!F6)</f>
        <v>0.383377308707124</v>
      </c>
      <c r="F5" s="50">
        <f>('D1_Balance Sheet'!F6-'D1_Balance Sheet'!G6)/ABS('D1_Balance Sheet'!G6)</f>
        <v>0.13779645752026418</v>
      </c>
      <c r="G5" s="51" t="s">
        <v>76</v>
      </c>
      <c r="M5" t="s">
        <v>75</v>
      </c>
      <c r="N5">
        <v>2020</v>
      </c>
      <c r="O5">
        <v>2021</v>
      </c>
      <c r="P5">
        <v>2022</v>
      </c>
      <c r="Q5">
        <v>2023</v>
      </c>
      <c r="R5">
        <v>2024</v>
      </c>
      <c r="S5">
        <v>2025</v>
      </c>
    </row>
    <row r="6" spans="1:19" ht="15.95">
      <c r="A6" s="57" t="s">
        <v>31</v>
      </c>
      <c r="B6" s="55">
        <f>('D1_Balance Sheet'!B7-'D1_Balance Sheet'!C7)/ABS('D1_Balance Sheet'!C7)</f>
        <v>2.2339642833255301E-2</v>
      </c>
      <c r="C6" s="55">
        <f>('D1_Balance Sheet'!C7-'D1_Balance Sheet'!D7)/ABS('D1_Balance Sheet'!D7)</f>
        <v>-4.4725576640470256E-2</v>
      </c>
      <c r="D6" s="55">
        <f>('D1_Balance Sheet'!D7-'D1_Balance Sheet'!E7)/ABS('D1_Balance Sheet'!E7)</f>
        <v>0.11157670454545454</v>
      </c>
      <c r="E6" s="55">
        <f>('D1_Balance Sheet'!E7-'D1_Balance Sheet'!F7)/ABS('D1_Balance Sheet'!F7)</f>
        <v>0.1670120182345628</v>
      </c>
      <c r="F6" s="55">
        <f>('D1_Balance Sheet'!F7-'D1_Balance Sheet'!G7)/ABS('D1_Balance Sheet'!G7)</f>
        <v>0.11630273871206513</v>
      </c>
      <c r="G6" s="56" t="s">
        <v>76</v>
      </c>
      <c r="M6" t="s">
        <v>78</v>
      </c>
      <c r="N6">
        <v>30690</v>
      </c>
      <c r="O6">
        <v>48519</v>
      </c>
      <c r="P6">
        <v>43242</v>
      </c>
      <c r="Q6">
        <v>42773</v>
      </c>
      <c r="R6">
        <v>44835</v>
      </c>
      <c r="S6">
        <v>35952</v>
      </c>
    </row>
    <row r="7" spans="1:19" ht="15.95">
      <c r="A7" s="49" t="s">
        <v>36</v>
      </c>
      <c r="B7" s="50"/>
      <c r="C7" s="50"/>
      <c r="D7" s="50"/>
      <c r="E7" s="50"/>
      <c r="F7" s="50"/>
      <c r="G7" s="51" t="s">
        <v>76</v>
      </c>
      <c r="M7" t="s">
        <v>79</v>
      </c>
      <c r="N7" t="s">
        <v>76</v>
      </c>
      <c r="O7" s="39">
        <f>F18</f>
        <v>0.58093841642228738</v>
      </c>
      <c r="P7" s="39">
        <f>E18</f>
        <v>-0.10876151610709207</v>
      </c>
      <c r="Q7" s="39">
        <f>D18</f>
        <v>-1.0845936820683594E-2</v>
      </c>
      <c r="R7" s="39">
        <f>C18</f>
        <v>4.8207981670680099E-2</v>
      </c>
      <c r="S7" s="39">
        <f>B18</f>
        <v>-0.19812646370023418</v>
      </c>
    </row>
    <row r="8" spans="1:19" ht="15.95">
      <c r="A8" s="57" t="s">
        <v>80</v>
      </c>
      <c r="B8" s="55">
        <f>('D1_Balance Sheet'!B13-'D1_Balance Sheet'!C13)/ABS('D1_Balance Sheet'!C13)</f>
        <v>-0.1106659034535394</v>
      </c>
      <c r="C8" s="55">
        <f>('D1_Balance Sheet'!C13-'D1_Balance Sheet'!D13)/ABS('D1_Balance Sheet'!D13)</f>
        <v>2.7118394943778937E-2</v>
      </c>
      <c r="D8" s="55">
        <f>('D1_Balance Sheet'!D13-'D1_Balance Sheet'!E13)/ABS('D1_Balance Sheet'!E13)</f>
        <v>9.5424661210250908E-2</v>
      </c>
      <c r="E8" s="55">
        <f>('D1_Balance Sheet'!E13-'D1_Balance Sheet'!F13)/ABS('D1_Balance Sheet'!F13)</f>
        <v>3.3926600070007269E-3</v>
      </c>
      <c r="F8" s="55">
        <f>('D1_Balance Sheet'!F13-'D1_Balance Sheet'!G13)/ABS('D1_Balance Sheet'!G13)</f>
        <v>1.5101259337162581E-3</v>
      </c>
      <c r="G8" s="56" t="s">
        <v>76</v>
      </c>
    </row>
    <row r="9" spans="1:19" ht="15.95">
      <c r="A9" s="52" t="s">
        <v>81</v>
      </c>
      <c r="B9" s="50">
        <f>('D1_Balance Sheet'!B19-'D1_Balance Sheet'!C19)/ABS('D1_Balance Sheet'!C19)</f>
        <v>1.389921317269527E-2</v>
      </c>
      <c r="C9" s="50">
        <f>('D1_Balance Sheet'!C19-'D1_Balance Sheet'!D19)/ABS('D1_Balance Sheet'!D19)</f>
        <v>4.3489078335955507E-2</v>
      </c>
      <c r="D9" s="50">
        <f>('D1_Balance Sheet'!D19-'D1_Balance Sheet'!E19)/ABS('D1_Balance Sheet'!E19)</f>
        <v>6.8101170843038253E-2</v>
      </c>
      <c r="E9" s="50">
        <f>('D1_Balance Sheet'!E19-'D1_Balance Sheet'!F19)/ABS('D1_Balance Sheet'!F19)</f>
        <v>-4.4779893788783626E-3</v>
      </c>
      <c r="F9" s="50">
        <f>('D1_Balance Sheet'!F19-'D1_Balance Sheet'!G19)/ABS('D1_Balance Sheet'!G19)</f>
        <v>-3.8262223070331995E-2</v>
      </c>
      <c r="G9" s="51" t="s">
        <v>76</v>
      </c>
      <c r="M9" t="s">
        <v>75</v>
      </c>
      <c r="N9">
        <v>2020</v>
      </c>
      <c r="O9">
        <v>2021</v>
      </c>
      <c r="P9">
        <v>2022</v>
      </c>
      <c r="Q9">
        <v>2023</v>
      </c>
      <c r="R9">
        <v>2024</v>
      </c>
      <c r="S9">
        <v>2025</v>
      </c>
    </row>
    <row r="10" spans="1:19" ht="15.95">
      <c r="A10" s="58" t="s">
        <v>44</v>
      </c>
      <c r="B10" s="55"/>
      <c r="C10" s="55"/>
      <c r="D10" s="55"/>
      <c r="E10" s="55"/>
      <c r="F10" s="55"/>
      <c r="G10" s="56" t="s">
        <v>76</v>
      </c>
      <c r="M10" t="s">
        <v>82</v>
      </c>
      <c r="N10">
        <v>87708</v>
      </c>
      <c r="O10">
        <v>71200</v>
      </c>
      <c r="P10">
        <v>69605</v>
      </c>
      <c r="Q10">
        <v>80095</v>
      </c>
      <c r="R10">
        <v>84675</v>
      </c>
      <c r="S10">
        <v>89665</v>
      </c>
    </row>
    <row r="11" spans="1:19" ht="15.95">
      <c r="A11" s="49" t="s">
        <v>48</v>
      </c>
      <c r="B11" s="50">
        <f>('D1_Balance Sheet'!B24-'D1_Balance Sheet'!C24)/ABS('D1_Balance Sheet'!C24)</f>
        <v>6.9670092838196293E-2</v>
      </c>
      <c r="C11" s="50">
        <f>('D1_Balance Sheet'!C24-'D1_Balance Sheet'!D24)/ABS('D1_Balance Sheet'!D24)</f>
        <v>-7.171437365343182E-2</v>
      </c>
      <c r="D11" s="50">
        <f>('D1_Balance Sheet'!D24-'D1_Balance Sheet'!E24)/ABS('D1_Balance Sheet'!E24)</f>
        <v>1.5114235500878734E-2</v>
      </c>
      <c r="E11" s="50">
        <f>('D1_Balance Sheet'!E24-'D1_Balance Sheet'!F24)/ABS('D1_Balance Sheet'!F24)</f>
        <v>0.14568884513848496</v>
      </c>
      <c r="F11" s="50">
        <f>('D1_Balance Sheet'!F24-'D1_Balance Sheet'!G24)/ABS('D1_Balance Sheet'!G24)</f>
        <v>6.5303548910106285E-3</v>
      </c>
      <c r="G11" s="51" t="s">
        <v>76</v>
      </c>
      <c r="M11" t="s">
        <v>79</v>
      </c>
      <c r="N11" t="s">
        <v>76</v>
      </c>
      <c r="O11" s="39">
        <f>F13</f>
        <v>-0.18821544214894878</v>
      </c>
      <c r="P11" s="39">
        <f>E13</f>
        <v>-2.2401685393258427E-2</v>
      </c>
      <c r="Q11" s="39">
        <f>D13</f>
        <v>0.15070756411177358</v>
      </c>
      <c r="R11" s="39">
        <f>C13</f>
        <v>5.7182096260690429E-2</v>
      </c>
      <c r="S11" s="39">
        <f>B13</f>
        <v>5.8931207558311188E-2</v>
      </c>
    </row>
    <row r="12" spans="1:19" ht="15.95">
      <c r="A12" s="57" t="s">
        <v>47</v>
      </c>
      <c r="B12" s="55">
        <f>('D1_Balance Sheet'!B23-'D1_Balance Sheet'!C23)/ABS('D1_Balance Sheet'!C23)</f>
        <v>-2.7090030643129735E-2</v>
      </c>
      <c r="C12" s="55">
        <f>('D1_Balance Sheet'!C23-'D1_Balance Sheet'!D23)/ABS('D1_Balance Sheet'!D23)</f>
        <v>8.1334363311107494E-2</v>
      </c>
      <c r="D12" s="55">
        <f>('D1_Balance Sheet'!D23-'D1_Balance Sheet'!E23)/ABS('D1_Balance Sheet'!E23)</f>
        <v>-4.8954161103693817E-3</v>
      </c>
      <c r="E12" s="55">
        <f>('D1_Balance Sheet'!E23-'D1_Balance Sheet'!F23)/ABS('D1_Balance Sheet'!F23)</f>
        <v>6.2708257196293832E-2</v>
      </c>
      <c r="F12" s="55">
        <f>('D1_Balance Sheet'!F23-'D1_Balance Sheet'!G23)/ABS('D1_Balance Sheet'!G23)</f>
        <v>-6.9082831355440369E-2</v>
      </c>
      <c r="G12" s="56" t="s">
        <v>76</v>
      </c>
    </row>
    <row r="13" spans="1:19" ht="15.95">
      <c r="A13" s="49" t="s">
        <v>53</v>
      </c>
      <c r="B13" s="50">
        <f>('D1_Balance Sheet'!B32-'D1_Balance Sheet'!C32)/ABS('D1_Balance Sheet'!C32)</f>
        <v>5.8931207558311188E-2</v>
      </c>
      <c r="C13" s="50">
        <f>('D1_Balance Sheet'!C32-'D1_Balance Sheet'!D32)/ABS('D1_Balance Sheet'!D32)</f>
        <v>5.7182096260690429E-2</v>
      </c>
      <c r="D13" s="50">
        <f>('D1_Balance Sheet'!D32-'D1_Balance Sheet'!E32)/ABS('D1_Balance Sheet'!E32)</f>
        <v>0.15070756411177358</v>
      </c>
      <c r="E13" s="50">
        <f>('D1_Balance Sheet'!E32-'D1_Balance Sheet'!F32)/ABS('D1_Balance Sheet'!F32)</f>
        <v>-2.2401685393258427E-2</v>
      </c>
      <c r="F13" s="50">
        <f>('D1_Balance Sheet'!F32-'D1_Balance Sheet'!G32)/ABS('D1_Balance Sheet'!G32)</f>
        <v>-0.18821544214894878</v>
      </c>
      <c r="G13" s="51" t="s">
        <v>76</v>
      </c>
      <c r="M13" t="s">
        <v>75</v>
      </c>
      <c r="N13">
        <v>2020</v>
      </c>
      <c r="O13">
        <v>2021</v>
      </c>
      <c r="P13">
        <v>2022</v>
      </c>
      <c r="Q13">
        <v>2023</v>
      </c>
      <c r="R13">
        <v>2024</v>
      </c>
      <c r="S13">
        <v>2025</v>
      </c>
    </row>
    <row r="14" spans="1:19">
      <c r="A14" s="14" t="s">
        <v>83</v>
      </c>
      <c r="B14" s="55">
        <f>(('D1_Balance Sheet'!B43-'D1_Balance Sheet'!B42)-('D1_Balance Sheet'!C43-'D1_Balance Sheet'!C42))/ABS('D1_Balance Sheet'!C43-'D1_Balance Sheet'!C42)</f>
        <v>5.3448770807244105E-2</v>
      </c>
      <c r="C14" s="55">
        <f>(('D1_Balance Sheet'!C43-'D1_Balance Sheet'!C42)-('D1_Balance Sheet'!D43-'D1_Balance Sheet'!D42))/ABS('D1_Balance Sheet'!D43-'D1_Balance Sheet'!D42)</f>
        <v>4.2613550102586571E-2</v>
      </c>
      <c r="D14" s="55">
        <f>(('D1_Balance Sheet'!D43-'D1_Balance Sheet'!D42)-('D1_Balance Sheet'!E43-'D1_Balance Sheet'!E42))/ABS('D1_Balance Sheet'!E43-'D1_Balance Sheet'!E42)</f>
        <v>8.4155529011201921E-2</v>
      </c>
      <c r="E14" s="55">
        <f>(('D1_Balance Sheet'!E43-'D1_Balance Sheet'!E42)-('D1_Balance Sheet'!F43-'D1_Balance Sheet'!F42))/ABS('D1_Balance Sheet'!F43-'D1_Balance Sheet'!F42)</f>
        <v>1.9787450363521263E-2</v>
      </c>
      <c r="F14" s="55">
        <f>(('D1_Balance Sheet'!F43-'D1_Balance Sheet'!F42)-('D1_Balance Sheet'!G43-'D1_Balance Sheet'!G42))/ABS('D1_Balance Sheet'!G43-'D1_Balance Sheet'!G42)</f>
        <v>-0.11859019068271259</v>
      </c>
      <c r="G14" s="56" t="s">
        <v>76</v>
      </c>
      <c r="M14" t="s">
        <v>30</v>
      </c>
      <c r="N14">
        <v>9993</v>
      </c>
      <c r="O14">
        <v>11370</v>
      </c>
      <c r="P14">
        <v>15729</v>
      </c>
      <c r="Q14">
        <v>15601</v>
      </c>
      <c r="R14">
        <v>14723</v>
      </c>
      <c r="S14">
        <v>15398</v>
      </c>
    </row>
    <row r="15" spans="1:19">
      <c r="A15" s="53" t="s">
        <v>54</v>
      </c>
      <c r="B15" s="50"/>
      <c r="C15" s="50"/>
      <c r="D15" s="50"/>
      <c r="E15" s="50"/>
      <c r="F15" s="50"/>
      <c r="G15" s="51" t="s">
        <v>76</v>
      </c>
      <c r="M15" t="s">
        <v>79</v>
      </c>
      <c r="N15" t="s">
        <v>76</v>
      </c>
      <c r="O15" s="39">
        <f>F5</f>
        <v>0.13779645752026418</v>
      </c>
      <c r="P15" s="39">
        <f>E5</f>
        <v>0.383377308707124</v>
      </c>
      <c r="Q15" s="39">
        <f>D5</f>
        <v>-8.1378345730815684E-3</v>
      </c>
      <c r="R15" s="39">
        <f>C5</f>
        <v>-5.6278443689507081E-2</v>
      </c>
      <c r="S15" s="39">
        <f>B5</f>
        <v>4.5846634517421721E-2</v>
      </c>
    </row>
    <row r="16" spans="1:19">
      <c r="A16" s="13" t="s">
        <v>55</v>
      </c>
      <c r="B16" s="55">
        <f>('D1_Balance Sheet'!B36-'D1_Balance Sheet'!C36)/ABS('D1_Balance Sheet'!C36)</f>
        <v>0</v>
      </c>
      <c r="C16" s="55">
        <f>('D1_Balance Sheet'!C36-'D1_Balance Sheet'!D36)/ABS('D1_Balance Sheet'!D36)</f>
        <v>0</v>
      </c>
      <c r="D16" s="55">
        <f>('D1_Balance Sheet'!D36-'D1_Balance Sheet'!E36)/ABS('D1_Balance Sheet'!E36)</f>
        <v>0</v>
      </c>
      <c r="E16" s="55">
        <f>('D1_Balance Sheet'!E36-'D1_Balance Sheet'!F36)/ABS('D1_Balance Sheet'!F36)</f>
        <v>2.5000000000000001E-2</v>
      </c>
      <c r="F16" s="55">
        <f>('D1_Balance Sheet'!F36-'D1_Balance Sheet'!G36)/ABS('D1_Balance Sheet'!G36)</f>
        <v>0</v>
      </c>
      <c r="G16" s="56" t="s">
        <v>76</v>
      </c>
    </row>
    <row r="17" spans="1:19" ht="15.95">
      <c r="A17" s="49" t="s">
        <v>59</v>
      </c>
      <c r="B17" s="50">
        <f>('D1_Balance Sheet'!B40-'D1_Balance Sheet'!C40)/ABS('D1_Balance Sheet'!C40)</f>
        <v>-0.33289863663307645</v>
      </c>
      <c r="C17" s="50">
        <f>('D1_Balance Sheet'!C40-'D1_Balance Sheet'!D40)/ABS('D1_Balance Sheet'!D40)</f>
        <v>8.7369879789873983E-2</v>
      </c>
      <c r="D17" s="50">
        <f>('D1_Balance Sheet'!D40-'D1_Balance Sheet'!E40)/ABS('D1_Balance Sheet'!E40)</f>
        <v>-2.2831769225924291E-2</v>
      </c>
      <c r="E17" s="50">
        <f>('D1_Balance Sheet'!E40-'D1_Balance Sheet'!F40)/ABS('D1_Balance Sheet'!F40)</f>
        <v>-0.11224803600883447</v>
      </c>
      <c r="F17" s="50">
        <f>('D1_Balance Sheet'!F40-'D1_Balance Sheet'!G40)/ABS('D1_Balance Sheet'!G40)</f>
        <v>0.96069725374116099</v>
      </c>
      <c r="G17" s="51" t="s">
        <v>76</v>
      </c>
      <c r="M17" t="s">
        <v>75</v>
      </c>
      <c r="N17">
        <v>2020</v>
      </c>
      <c r="O17">
        <v>2021</v>
      </c>
      <c r="P17">
        <v>2022</v>
      </c>
      <c r="Q17">
        <v>2023</v>
      </c>
      <c r="R17">
        <v>2024</v>
      </c>
      <c r="S17">
        <v>2025</v>
      </c>
    </row>
    <row r="18" spans="1:19">
      <c r="A18" s="14" t="s">
        <v>84</v>
      </c>
      <c r="B18" s="55">
        <f>('D1_Balance Sheet'!B42-'D1_Balance Sheet'!C42)/ABS('D1_Balance Sheet'!C42)</f>
        <v>-0.19812646370023418</v>
      </c>
      <c r="C18" s="55">
        <f>('D1_Balance Sheet'!C42-'D1_Balance Sheet'!D42)/ABS('D1_Balance Sheet'!D42)</f>
        <v>4.8207981670680099E-2</v>
      </c>
      <c r="D18" s="55">
        <f>('D1_Balance Sheet'!D42-'D1_Balance Sheet'!E42)/ABS('D1_Balance Sheet'!E42)</f>
        <v>-1.0845936820683594E-2</v>
      </c>
      <c r="E18" s="55">
        <f>('D1_Balance Sheet'!E42-'D1_Balance Sheet'!F42)/ABS('D1_Balance Sheet'!F42)</f>
        <v>-0.10876151610709207</v>
      </c>
      <c r="F18" s="55">
        <f>('D1_Balance Sheet'!F42-'D1_Balance Sheet'!G42)/ABS('D1_Balance Sheet'!G42)</f>
        <v>0.58093841642228738</v>
      </c>
      <c r="G18" s="56" t="s">
        <v>76</v>
      </c>
      <c r="M18" t="s">
        <v>30</v>
      </c>
      <c r="N18">
        <f>'D1_Balance Sheet'!G6</f>
        <v>9993</v>
      </c>
      <c r="O18">
        <f>'D1_Balance Sheet'!F6</f>
        <v>11370</v>
      </c>
      <c r="P18">
        <f>'D1_Balance Sheet'!E6</f>
        <v>15729</v>
      </c>
      <c r="Q18">
        <f>'D1_Balance Sheet'!D6</f>
        <v>15601</v>
      </c>
      <c r="R18" s="68">
        <f>'D1_Balance Sheet'!C6</f>
        <v>14723</v>
      </c>
      <c r="S18" s="68">
        <f>'D1_Balance Sheet'!B6</f>
        <v>15398</v>
      </c>
    </row>
    <row r="19" spans="1:19">
      <c r="A19" s="47" t="s">
        <v>56</v>
      </c>
      <c r="B19" s="50">
        <f>('D1_Balance Sheet'!B37-'D1_Balance Sheet'!C37)/ABS('D1_Balance Sheet'!C37)</f>
        <v>1.7870819504723003E-2</v>
      </c>
      <c r="C19" s="50">
        <f>('D1_Balance Sheet'!C37-'D1_Balance Sheet'!D37)/ABS('D1_Balance Sheet'!D37)</f>
        <v>1.6170875129712901E-2</v>
      </c>
      <c r="D19" s="50">
        <f>('D1_Balance Sheet'!D37-'D1_Balance Sheet'!E37)/ABS('D1_Balance Sheet'!E37)</f>
        <v>1.296426068675543E-2</v>
      </c>
      <c r="E19" s="50">
        <f>('D1_Balance Sheet'!E37-'D1_Balance Sheet'!F37)/ABS('D1_Balance Sheet'!F37)</f>
        <v>9.774003803458494E-3</v>
      </c>
      <c r="F19" s="50">
        <f>('D1_Balance Sheet'!F37-'D1_Balance Sheet'!G37)/ABS('D1_Balance Sheet'!G37)</f>
        <v>1.4401076716016151E-2</v>
      </c>
      <c r="G19" s="51" t="s">
        <v>76</v>
      </c>
      <c r="M19" t="s">
        <v>85</v>
      </c>
      <c r="N19" s="39">
        <v>0</v>
      </c>
      <c r="O19" s="39">
        <f>F5</f>
        <v>0.13779645752026418</v>
      </c>
      <c r="P19" s="39">
        <f>E5</f>
        <v>0.383377308707124</v>
      </c>
      <c r="Q19" s="39">
        <f>D5</f>
        <v>-8.1378345730815684E-3</v>
      </c>
      <c r="R19" s="39">
        <f>C5</f>
        <v>-5.6278443689507081E-2</v>
      </c>
      <c r="S19" s="39">
        <f>B5</f>
        <v>4.5846634517421721E-2</v>
      </c>
    </row>
    <row r="20" spans="1:19">
      <c r="A20" s="13" t="s">
        <v>60</v>
      </c>
      <c r="B20" s="55">
        <f>('D1_Balance Sheet'!B41-'D1_Balance Sheet'!C41)/ABS('D1_Balance Sheet'!C41)</f>
        <v>0.20012449424214129</v>
      </c>
      <c r="C20" s="55">
        <f>('D1_Balance Sheet'!C41-'D1_Balance Sheet'!D41)/ABS('D1_Balance Sheet'!D41)</f>
        <v>-6.6025215660252157E-2</v>
      </c>
      <c r="D20" s="55">
        <f>('D1_Balance Sheet'!D41-'D1_Balance Sheet'!E41)/ABS('D1_Balance Sheet'!E41)</f>
        <v>3.1802120141342753E-2</v>
      </c>
      <c r="E20" s="55">
        <f>('D1_Balance Sheet'!E41-'D1_Balance Sheet'!F41)/ABS('D1_Balance Sheet'!F41)</f>
        <v>-0.1199184554502938</v>
      </c>
      <c r="F20" s="55">
        <f>('D1_Balance Sheet'!F41-'D1_Balance Sheet'!G41)/ABS('D1_Balance Sheet'!G41)</f>
        <v>-5.4256088738847356E-3</v>
      </c>
      <c r="G20" s="56" t="s">
        <v>76</v>
      </c>
      <c r="M20" t="s">
        <v>86</v>
      </c>
      <c r="N20">
        <f>D1_IncomeStatment!G9</f>
        <v>127144</v>
      </c>
      <c r="O20">
        <f>D1_IncomeStatment!F9</f>
        <v>136341</v>
      </c>
      <c r="P20">
        <f>D1_IncomeStatment!E9</f>
        <v>158057</v>
      </c>
      <c r="Q20">
        <f>D1_IncomeStatment!D9</f>
        <v>176191</v>
      </c>
      <c r="R20">
        <f>D1_IncomeStatment!C9</f>
        <v>184992</v>
      </c>
      <c r="S20">
        <f>D1_IncomeStatment!B9</f>
        <v>187267</v>
      </c>
    </row>
    <row r="21" spans="1:19">
      <c r="M21" t="s">
        <v>87</v>
      </c>
      <c r="N21" s="39">
        <v>0</v>
      </c>
      <c r="O21" s="39">
        <f>D3_ISHorizontalAnalysis!F3</f>
        <v>7.2335304851192356E-2</v>
      </c>
      <c r="P21" s="39">
        <f>D3_ISHorizontalAnalysis!E3</f>
        <v>0.15927710666637329</v>
      </c>
      <c r="Q21" s="39">
        <f>D3_ISHorizontalAnalysis!D3</f>
        <v>0.11473076168723942</v>
      </c>
      <c r="R21" s="39">
        <f>D3_ISHorizontalAnalysis!C3</f>
        <v>4.9951473117242087E-2</v>
      </c>
      <c r="S21" s="39">
        <f>D3_ISHorizontalAnalysis!B3</f>
        <v>1.229782909531223E-2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G32"/>
  <sheetViews>
    <sheetView workbookViewId="0">
      <selection activeCell="B4" sqref="B4"/>
    </sheetView>
  </sheetViews>
  <sheetFormatPr defaultColWidth="8.85546875" defaultRowHeight="15"/>
  <cols>
    <col min="1" max="1" width="56.140625" bestFit="1" customWidth="1"/>
    <col min="2" max="7" width="14" customWidth="1"/>
  </cols>
  <sheetData>
    <row r="1" spans="1:7">
      <c r="A1" t="s">
        <v>88</v>
      </c>
    </row>
    <row r="2" spans="1:7">
      <c r="B2" s="1" t="s">
        <v>16</v>
      </c>
      <c r="C2" s="1" t="s">
        <v>17</v>
      </c>
      <c r="D2" s="1" t="s">
        <v>18</v>
      </c>
      <c r="E2" s="1" t="s">
        <v>19</v>
      </c>
      <c r="F2" s="1" t="s">
        <v>20</v>
      </c>
      <c r="G2" s="1" t="s">
        <v>21</v>
      </c>
    </row>
    <row r="3" spans="1:7">
      <c r="A3" s="8" t="s">
        <v>89</v>
      </c>
      <c r="B3" s="9"/>
      <c r="C3" s="9"/>
      <c r="D3" s="9"/>
      <c r="E3" s="9"/>
      <c r="F3" s="9"/>
      <c r="G3" s="9"/>
    </row>
    <row r="4" spans="1:7">
      <c r="A4" s="13" t="s">
        <v>90</v>
      </c>
      <c r="B4" s="41">
        <f>'D1_Balance Sheet'!B11/'D1_Balance Sheet'!B26</f>
        <v>1.0748280964400732</v>
      </c>
      <c r="C4" s="41">
        <f>'D1_Balance Sheet'!C11/'D1_Balance Sheet'!C26</f>
        <v>1.1648433917592342</v>
      </c>
      <c r="D4" s="41">
        <f>'D1_Balance Sheet'!D11/'D1_Balance Sheet'!D26</f>
        <v>1.1964917118909495</v>
      </c>
      <c r="E4" s="41">
        <f>'D1_Balance Sheet'!E11/'D1_Balance Sheet'!E26</f>
        <v>1.2024446142093201</v>
      </c>
      <c r="F4" s="41">
        <f>'D1_Balance Sheet'!F11/'D1_Balance Sheet'!F26</f>
        <v>1.2013623287444752</v>
      </c>
      <c r="G4" s="41">
        <f>'D1_Balance Sheet'!G11/'D1_Balance Sheet'!G26</f>
        <v>1.2011688204790518</v>
      </c>
    </row>
    <row r="5" spans="1:7">
      <c r="A5" t="s">
        <v>91</v>
      </c>
      <c r="B5" s="42">
        <f>('D1_Balance Sheet'!B4+'D1_Balance Sheet'!B5+'D1_Balance Sheet'!B6)/'D1_Balance Sheet'!B26</f>
        <v>0.4690138393245713</v>
      </c>
      <c r="C5" s="42">
        <f>('D1_Balance Sheet'!C4+'D1_Balance Sheet'!C5+'D1_Balance Sheet'!C6)/'D1_Balance Sheet'!C26</f>
        <v>0.49664511178281662</v>
      </c>
      <c r="D5" s="42">
        <f>('D1_Balance Sheet'!D4+'D1_Balance Sheet'!D5+'D1_Balance Sheet'!D6)/'D1_Balance Sheet'!D26</f>
        <v>0.54931006293644302</v>
      </c>
      <c r="E5" s="42">
        <f>('D1_Balance Sheet'!E4+'D1_Balance Sheet'!E5+'D1_Balance Sheet'!E6)/'D1_Balance Sheet'!E26</f>
        <v>0.61733735263147027</v>
      </c>
      <c r="F5" s="42">
        <f>('D1_Balance Sheet'!F4+'D1_Balance Sheet'!F5+'D1_Balance Sheet'!F6)/'D1_Balance Sheet'!F26</f>
        <v>0.67193889360388859</v>
      </c>
      <c r="G5" s="42">
        <f>('D1_Balance Sheet'!G4+'D1_Balance Sheet'!G5+'D1_Balance Sheet'!G6)/'D1_Balance Sheet'!G26</f>
        <v>0.61686147007984193</v>
      </c>
    </row>
    <row r="6" spans="1:7">
      <c r="A6" s="19" t="s">
        <v>92</v>
      </c>
      <c r="B6" s="43">
        <f>('D1_Balance Sheet'!B4+'D1_Balance Sheet'!B6)/'D1_Balance Sheet'!B26</f>
        <v>0.33731395247628165</v>
      </c>
      <c r="C6" s="43">
        <f>('D1_Balance Sheet'!C4+'D1_Balance Sheet'!C6)/'D1_Balance Sheet'!C26</f>
        <v>0.35240831375925286</v>
      </c>
      <c r="D6" s="43">
        <f>('D1_Balance Sheet'!D4+'D1_Balance Sheet'!D6)/'D1_Balance Sheet'!D26</f>
        <v>0.39852852823275647</v>
      </c>
      <c r="E6" s="43">
        <f>('D1_Balance Sheet'!E4+'D1_Balance Sheet'!E6)/'D1_Balance Sheet'!E26</f>
        <v>0.42185080420374538</v>
      </c>
      <c r="F6" s="43">
        <f>('D1_Balance Sheet'!F4+'D1_Balance Sheet'!F6)/'D1_Balance Sheet'!F26</f>
        <v>0.35171448411167566</v>
      </c>
      <c r="G6" s="43">
        <f>('D1_Balance Sheet'!G4+'D1_Balance Sheet'!G6)/'D1_Balance Sheet'!G26</f>
        <v>0.36254012675940406</v>
      </c>
    </row>
    <row r="9" spans="1:7">
      <c r="B9" s="1" t="s">
        <v>16</v>
      </c>
      <c r="C9" s="1" t="s">
        <v>17</v>
      </c>
      <c r="D9" s="1" t="s">
        <v>18</v>
      </c>
      <c r="E9" s="1" t="s">
        <v>19</v>
      </c>
      <c r="F9" s="1" t="s">
        <v>20</v>
      </c>
      <c r="G9" s="1" t="s">
        <v>21</v>
      </c>
    </row>
    <row r="10" spans="1:7">
      <c r="A10" s="8" t="s">
        <v>93</v>
      </c>
      <c r="B10" s="9"/>
      <c r="C10" s="9"/>
      <c r="D10" s="9"/>
      <c r="E10" s="9"/>
      <c r="F10" s="9"/>
      <c r="G10" s="9"/>
    </row>
    <row r="11" spans="1:7">
      <c r="A11" s="13" t="s">
        <v>94</v>
      </c>
      <c r="B11" s="41">
        <f>'D1_Balance Sheet'!B32/'D1_Balance Sheet'!B42</f>
        <v>2.4940198041833557</v>
      </c>
      <c r="C11" s="41">
        <f>'D1_Balance Sheet'!C32/'D1_Balance Sheet'!C42</f>
        <v>1.8885915021746404</v>
      </c>
      <c r="D11" s="41">
        <f>'D1_Balance Sheet'!D32/'D1_Balance Sheet'!D42</f>
        <v>1.8725597923923971</v>
      </c>
      <c r="E11" s="41">
        <f>'D1_Balance Sheet'!E32/'D1_Balance Sheet'!E42</f>
        <v>1.609661902779705</v>
      </c>
      <c r="F11" s="41">
        <f>'D1_Balance Sheet'!F32/'D1_Balance Sheet'!F42</f>
        <v>1.4674663533873329</v>
      </c>
      <c r="G11" s="41">
        <f>'D1_Balance Sheet'!G32/'D1_Balance Sheet'!G42</f>
        <v>2.8578690127077224</v>
      </c>
    </row>
    <row r="12" spans="1:7">
      <c r="A12" t="s">
        <v>95</v>
      </c>
      <c r="B12" s="42">
        <f>'D1_Balance Sheet'!B26/'D1_Balance Sheet'!B42</f>
        <v>3.1956497552291947</v>
      </c>
      <c r="C12" s="42">
        <f>'D1_Balance Sheet'!C26/'D1_Balance Sheet'!C42</f>
        <v>2.3833835173413629</v>
      </c>
      <c r="D12" s="42">
        <f>'D1_Balance Sheet'!D26/'D1_Balance Sheet'!D42</f>
        <v>2.3737170645033081</v>
      </c>
      <c r="E12" s="42">
        <f>'D1_Balance Sheet'!E26/'D1_Balance Sheet'!E42</f>
        <v>2.2400906526062623</v>
      </c>
      <c r="F12" s="42">
        <f>'D1_Balance Sheet'!F26/'D1_Balance Sheet'!F42</f>
        <v>1.8699272449968054</v>
      </c>
      <c r="G12" s="42">
        <f>'D1_Balance Sheet'!G26/'D1_Balance Sheet'!G42</f>
        <v>3.166894753991528</v>
      </c>
    </row>
    <row r="13" spans="1:7">
      <c r="A13" s="13" t="s">
        <v>96</v>
      </c>
      <c r="B13" s="41">
        <f>'D1_Balance Sheet'!B26/'D1_Balance Sheet'!B19</f>
        <v>0.39732328122838567</v>
      </c>
      <c r="C13" s="41">
        <f>'D1_Balance Sheet'!C26/'D1_Balance Sheet'!C19</f>
        <v>0.37468618073184756</v>
      </c>
      <c r="D13" s="41">
        <f>'D1_Balance Sheet'!D26/'D1_Balance Sheet'!D19</f>
        <v>0.37148659031868575</v>
      </c>
      <c r="E13" s="41">
        <f>'D1_Balance Sheet'!E26/'D1_Balance Sheet'!E19</f>
        <v>0.3785543449375498</v>
      </c>
      <c r="F13" s="41">
        <f>'D1_Balance Sheet'!F26/'D1_Balance Sheet'!F19</f>
        <v>0.3529752757406579</v>
      </c>
      <c r="G13" s="41">
        <f>'D1_Balance Sheet'!G26/'D1_Balance Sheet'!G19</f>
        <v>0.36365949390296376</v>
      </c>
    </row>
    <row r="14" spans="1:7">
      <c r="A14" t="s">
        <v>97</v>
      </c>
      <c r="B14" s="42">
        <f>('D1_Balance Sheet'!B26+'D1_Balance Sheet'!B32+'D1_Balance Sheet'!B33)/('D1_Balance Sheet'!B26+'D1_Balance Sheet'!B32++'D1_Balance Sheet'!B33+'D1_Balance Sheet'!B42)</f>
        <v>0.86753571178553401</v>
      </c>
      <c r="C14" s="42">
        <f>('D1_Balance Sheet'!C26+'D1_Balance Sheet'!C32+'D1_Balance Sheet'!C33)/('D1_Balance Sheet'!C26+'D1_Balance Sheet'!C32++'D1_Balance Sheet'!C33+'D1_Balance Sheet'!C42)</f>
        <v>0.83093955150998677</v>
      </c>
      <c r="D14" s="42">
        <f>('D1_Balance Sheet'!D26+'D1_Balance Sheet'!D32+'D1_Balance Sheet'!D33)/('D1_Balance Sheet'!D26+'D1_Balance Sheet'!D32++'D1_Balance Sheet'!D33+'D1_Balance Sheet'!D42)</f>
        <v>0.8308117066764763</v>
      </c>
      <c r="E14" s="42">
        <f>('D1_Balance Sheet'!E26+'D1_Balance Sheet'!E32+'D1_Balance Sheet'!E33)/('D1_Balance Sheet'!E26+'D1_Balance Sheet'!E32++'D1_Balance Sheet'!E33+'D1_Balance Sheet'!E42)</f>
        <v>0.81615577568980913</v>
      </c>
      <c r="F14" s="42">
        <f>('D1_Balance Sheet'!F26+'D1_Balance Sheet'!F32+'D1_Balance Sheet'!F33)/('D1_Balance Sheet'!F26+'D1_Balance Sheet'!F32++'D1_Balance Sheet'!F33+'D1_Balance Sheet'!F42)</f>
        <v>0.79626791405452846</v>
      </c>
      <c r="G14" s="42">
        <f>('D1_Balance Sheet'!G26+'D1_Balance Sheet'!G32+'D1_Balance Sheet'!G33)/('D1_Balance Sheet'!G26+'D1_Balance Sheet'!G32++'D1_Balance Sheet'!G33+'D1_Balance Sheet'!G42)</f>
        <v>0.87420532936561612</v>
      </c>
    </row>
    <row r="15" spans="1:7">
      <c r="A15" s="19" t="s">
        <v>98</v>
      </c>
      <c r="B15" s="43">
        <f>'D1_Balance Sheet'!B19/'D1_Balance Sheet'!B42</f>
        <v>8.0429461504227859</v>
      </c>
      <c r="C15" s="43">
        <f>'D1_Balance Sheet'!C19/'D1_Balance Sheet'!C42</f>
        <v>6.3610126017620159</v>
      </c>
      <c r="D15" s="43">
        <f>'D1_Balance Sheet'!D19/'D1_Balance Sheet'!D42</f>
        <v>6.3897785986486806</v>
      </c>
      <c r="E15" s="43">
        <f>'D1_Balance Sheet'!E19/'D1_Balance Sheet'!E42</f>
        <v>5.9174876277692983</v>
      </c>
      <c r="F15" s="43">
        <f>'D1_Balance Sheet'!F19/'D1_Balance Sheet'!F42</f>
        <v>5.2976153671757453</v>
      </c>
      <c r="G15" s="43">
        <f>'D1_Balance Sheet'!G19/'D1_Balance Sheet'!G42</f>
        <v>8.7084066471163251</v>
      </c>
    </row>
    <row r="16" spans="1:7">
      <c r="A16" s="13"/>
      <c r="B16" s="13"/>
      <c r="C16" s="13"/>
      <c r="D16" s="13"/>
      <c r="E16" s="13"/>
      <c r="F16" s="13"/>
      <c r="G16" s="13"/>
    </row>
    <row r="18" spans="1:7">
      <c r="B18" s="1" t="s">
        <v>16</v>
      </c>
      <c r="C18" s="1" t="s">
        <v>17</v>
      </c>
      <c r="D18" s="1" t="s">
        <v>18</v>
      </c>
      <c r="E18" s="1" t="s">
        <v>19</v>
      </c>
      <c r="F18" s="1" t="s">
        <v>20</v>
      </c>
      <c r="G18" s="1" t="s">
        <v>21</v>
      </c>
    </row>
    <row r="19" spans="1:7">
      <c r="A19" s="8" t="s">
        <v>93</v>
      </c>
      <c r="B19" s="9"/>
      <c r="C19" s="9"/>
      <c r="D19" s="9"/>
      <c r="E19" s="9"/>
      <c r="F19" s="9"/>
      <c r="G19" s="9"/>
    </row>
    <row r="20" spans="1:7">
      <c r="A20" s="13" t="s">
        <v>96</v>
      </c>
      <c r="B20" s="41">
        <f t="shared" ref="B20:G20" si="0">B13</f>
        <v>0.39732328122838567</v>
      </c>
      <c r="C20" s="41">
        <f t="shared" si="0"/>
        <v>0.37468618073184756</v>
      </c>
      <c r="D20" s="41">
        <f t="shared" si="0"/>
        <v>0.37148659031868575</v>
      </c>
      <c r="E20" s="41">
        <f t="shared" si="0"/>
        <v>0.3785543449375498</v>
      </c>
      <c r="F20" s="41">
        <f t="shared" si="0"/>
        <v>0.3529752757406579</v>
      </c>
      <c r="G20" s="41">
        <f t="shared" si="0"/>
        <v>0.36365949390296376</v>
      </c>
    </row>
    <row r="21" spans="1:7">
      <c r="A21" s="9" t="s">
        <v>99</v>
      </c>
      <c r="B21" s="44">
        <f>'D1_Balance Sheet'!B42/'D1_Balance Sheet'!B19</f>
        <v>0.12433254945358971</v>
      </c>
      <c r="C21" s="44">
        <f>'D1_Balance Sheet'!C42/'D1_Balance Sheet'!C19</f>
        <v>0.15720767472194561</v>
      </c>
      <c r="D21" s="44">
        <f>'D1_Balance Sheet'!D42/'D1_Balance Sheet'!D19</f>
        <v>0.15649994511726611</v>
      </c>
      <c r="E21" s="44">
        <f>'D1_Balance Sheet'!E42/'D1_Balance Sheet'!E19</f>
        <v>0.16899063638211065</v>
      </c>
      <c r="F21" s="44">
        <f>'D1_Balance Sheet'!F42/'D1_Balance Sheet'!F19</f>
        <v>0.18876417608496898</v>
      </c>
      <c r="G21" s="44">
        <f>'D1_Balance Sheet'!G42/'D1_Balance Sheet'!G19</f>
        <v>0.1148315691402786</v>
      </c>
    </row>
    <row r="24" spans="1:7">
      <c r="B24" s="1" t="s">
        <v>16</v>
      </c>
      <c r="C24" s="1" t="s">
        <v>17</v>
      </c>
      <c r="D24" s="1" t="s">
        <v>18</v>
      </c>
      <c r="E24" s="1" t="s">
        <v>19</v>
      </c>
      <c r="F24" s="1" t="s">
        <v>20</v>
      </c>
      <c r="G24" s="1" t="s">
        <v>21</v>
      </c>
    </row>
    <row r="25" spans="1:7">
      <c r="A25" s="8" t="s">
        <v>100</v>
      </c>
      <c r="B25" s="9"/>
      <c r="C25" s="9"/>
      <c r="D25" s="9"/>
      <c r="E25" s="9"/>
      <c r="F25" s="9"/>
      <c r="G25" s="9"/>
    </row>
    <row r="26" spans="1:7">
      <c r="A26" s="13" t="s">
        <v>101</v>
      </c>
      <c r="B26" s="41">
        <f>'D1_Balance Sheet'!B11/'D1_Balance Sheet'!B19</f>
        <v>0.42705422603402959</v>
      </c>
      <c r="C26" s="41">
        <f>'D1_Balance Sheet'!C11/'D1_Balance Sheet'!C19</f>
        <v>0.43645072160899873</v>
      </c>
      <c r="D26" s="41">
        <f>'D1_Balance Sheet'!D11/'D1_Balance Sheet'!D19</f>
        <v>0.44448062639493613</v>
      </c>
      <c r="E26" s="41">
        <f>'D1_Balance Sheet'!E11/'D1_Balance Sheet'!E19</f>
        <v>0.45519063325569398</v>
      </c>
      <c r="F26" s="41">
        <f>'D1_Balance Sheet'!F11/'D1_Balance Sheet'!F19</f>
        <v>0.42405119925302004</v>
      </c>
      <c r="G26" s="41">
        <f>'D1_Balance Sheet'!G11/'D1_Balance Sheet'!G19</f>
        <v>0.43681644534743191</v>
      </c>
    </row>
    <row r="27" spans="1:7">
      <c r="A27" t="s">
        <v>102</v>
      </c>
      <c r="B27" s="42">
        <f>('D1_Balance Sheet'!B13+'D1_Balance Sheet'!B14+'D1_Balance Sheet'!B15+'D1_Balance Sheet'!B16+'D1_Balance Sheet'!B17+'D1_Balance Sheet'!B18)/'D1_Balance Sheet'!B19</f>
        <v>0.57294577396597035</v>
      </c>
      <c r="C27" s="42">
        <f>('D1_Balance Sheet'!C13+'D1_Balance Sheet'!C14+'D1_Balance Sheet'!C15+'D1_Balance Sheet'!C16+'D1_Balance Sheet'!C17+'D1_Balance Sheet'!C18)/'D1_Balance Sheet'!C19</f>
        <v>0.56354927839100133</v>
      </c>
      <c r="D27" s="42">
        <f>('D1_Balance Sheet'!D13+'D1_Balance Sheet'!D14+'D1_Balance Sheet'!D15+'D1_Balance Sheet'!D16+'D1_Balance Sheet'!D17+'D1_Balance Sheet'!D18)/'D1_Balance Sheet'!D19</f>
        <v>0.55551937360506387</v>
      </c>
      <c r="E27" s="42">
        <f>('D1_Balance Sheet'!E13+'D1_Balance Sheet'!E14+'D1_Balance Sheet'!E15+'D1_Balance Sheet'!E16+'D1_Balance Sheet'!E17+'D1_Balance Sheet'!E18)/'D1_Balance Sheet'!E19</f>
        <v>0.54480936674430602</v>
      </c>
      <c r="F27" s="42">
        <f>('D1_Balance Sheet'!F13+'D1_Balance Sheet'!F14+'D1_Balance Sheet'!F15+'D1_Balance Sheet'!F16+'D1_Balance Sheet'!F17+'D1_Balance Sheet'!F18)/'D1_Balance Sheet'!F19</f>
        <v>0.57594880074697996</v>
      </c>
      <c r="G27" s="42">
        <f>('D1_Balance Sheet'!G13+'D1_Balance Sheet'!G14+'D1_Balance Sheet'!G15+'D1_Balance Sheet'!G16+'D1_Balance Sheet'!G17+'D1_Balance Sheet'!G18)/'D1_Balance Sheet'!G19</f>
        <v>0.56318355465256809</v>
      </c>
    </row>
    <row r="28" spans="1:7">
      <c r="A28" s="13" t="s">
        <v>103</v>
      </c>
      <c r="B28" s="41">
        <f>'D1_Balance Sheet'!B26/('D1_Balance Sheet'!B43-'D1_Balance Sheet'!B42)</f>
        <v>0.45373763862121258</v>
      </c>
      <c r="C28" s="41">
        <f>'D1_Balance Sheet'!C26/('D1_Balance Sheet'!C43-'D1_Balance Sheet'!C42)</f>
        <v>0.44457711525580274</v>
      </c>
      <c r="D28" s="41">
        <f>'D1_Balance Sheet'!D26/('D1_Balance Sheet'!D43-'D1_Balance Sheet'!D42)</f>
        <v>0.44041086680229202</v>
      </c>
      <c r="E28" s="41">
        <f>'D1_Balance Sheet'!E26/('D1_Balance Sheet'!E43-'D1_Balance Sheet'!E42)</f>
        <v>0.45553559503766894</v>
      </c>
      <c r="F28" s="41">
        <f>'D1_Balance Sheet'!F26/('D1_Balance Sheet'!F43-'D1_Balance Sheet'!F42)</f>
        <v>0.4351080972203572</v>
      </c>
      <c r="G28" s="41">
        <f>'D1_Balance Sheet'!G26/('D1_Balance Sheet'!G43-'D1_Balance Sheet'!G42)</f>
        <v>0.41083649306127967</v>
      </c>
    </row>
    <row r="29" spans="1:7">
      <c r="A29" t="s">
        <v>104</v>
      </c>
      <c r="B29" s="42">
        <f>('D1_Balance Sheet'!B28+'D1_Balance Sheet'!B29+'D1_Balance Sheet'!B30+'D1_Balance Sheet'!B32+'D1_Balance Sheet'!B33)/('D1_Balance Sheet'!B43-'D1_Balance Sheet'!B42)</f>
        <v>0.54626236137878736</v>
      </c>
      <c r="C29" s="42">
        <f>('D1_Balance Sheet'!C28+'D1_Balance Sheet'!C29+'D1_Balance Sheet'!C30+'D1_Balance Sheet'!C32+'D1_Balance Sheet'!C33)/('D1_Balance Sheet'!C43-'D1_Balance Sheet'!C42)</f>
        <v>0.55542288474419732</v>
      </c>
      <c r="D29" s="42">
        <f>('D1_Balance Sheet'!D28+'D1_Balance Sheet'!D29+'D1_Balance Sheet'!D30+'D1_Balance Sheet'!D32+'D1_Balance Sheet'!D33)/('D1_Balance Sheet'!D43-'D1_Balance Sheet'!D42)</f>
        <v>0.55958913319770798</v>
      </c>
      <c r="E29" s="42">
        <f>('D1_Balance Sheet'!E28+'D1_Balance Sheet'!E29+'D1_Balance Sheet'!E30+'D1_Balance Sheet'!E32+'D1_Balance Sheet'!E33)/('D1_Balance Sheet'!E43-'D1_Balance Sheet'!E42)</f>
        <v>0.54446440496233106</v>
      </c>
      <c r="F29" s="42">
        <f>('D1_Balance Sheet'!F28+'D1_Balance Sheet'!F29+'D1_Balance Sheet'!F30+'D1_Balance Sheet'!F32+'D1_Balance Sheet'!F33)/('D1_Balance Sheet'!F43-'D1_Balance Sheet'!F42)</f>
        <v>0.56489190277964285</v>
      </c>
      <c r="G29" s="42">
        <f>('D1_Balance Sheet'!G28+'D1_Balance Sheet'!G29+'D1_Balance Sheet'!G30+'D1_Balance Sheet'!G32+'D1_Balance Sheet'!G33)/('D1_Balance Sheet'!G43-'D1_Balance Sheet'!G42)</f>
        <v>0.58916350693872033</v>
      </c>
    </row>
    <row r="30" spans="1:7">
      <c r="A30" s="13" t="s">
        <v>105</v>
      </c>
      <c r="B30" s="41">
        <f>'D1_Balance Sheet'!B40/'D1_Balance Sheet'!B42</f>
        <v>0.62605696484201157</v>
      </c>
      <c r="C30" s="41">
        <f>'D1_Balance Sheet'!C40/'D1_Balance Sheet'!C42</f>
        <v>0.75253708040593281</v>
      </c>
      <c r="D30" s="41">
        <f>'D1_Balance Sheet'!D40/'D1_Balance Sheet'!D42</f>
        <v>0.7254342692820237</v>
      </c>
      <c r="E30" s="41">
        <f>'D1_Balance Sheet'!E40/'D1_Balance Sheet'!E42</f>
        <v>0.73433236205540908</v>
      </c>
      <c r="F30" s="41">
        <f>'D1_Balance Sheet'!F40/'D1_Balance Sheet'!F42</f>
        <v>0.73721634823471216</v>
      </c>
      <c r="G30" s="41">
        <f>'D1_Balance Sheet'!G40/'D1_Balance Sheet'!G42</f>
        <v>0.59442815249266867</v>
      </c>
    </row>
    <row r="31" spans="1:7">
      <c r="A31" t="s">
        <v>106</v>
      </c>
      <c r="B31" s="42">
        <f>'D1_Balance Sheet'!B41/'D1_Balance Sheet'!B42</f>
        <v>-0.21445260347129505</v>
      </c>
      <c r="C31" s="42">
        <f>'D1_Balance Sheet'!C41/'D1_Balance Sheet'!C42</f>
        <v>-0.21498829039812647</v>
      </c>
      <c r="D31" s="42">
        <f>'D1_Balance Sheet'!D41/'D1_Balance Sheet'!D42</f>
        <v>-0.21139503892642555</v>
      </c>
      <c r="E31" s="42">
        <f>'D1_Balance Sheet'!E41/'D1_Balance Sheet'!E42</f>
        <v>-0.21597058415429443</v>
      </c>
      <c r="F31" s="42">
        <f>'D1_Balance Sheet'!F41/'D1_Balance Sheet'!F42</f>
        <v>-0.17187081349574393</v>
      </c>
      <c r="G31" s="42">
        <f>'D1_Balance Sheet'!G41/'D1_Balance Sheet'!G42</f>
        <v>-0.27025089605734764</v>
      </c>
    </row>
    <row r="32" spans="1:7">
      <c r="A32" s="19" t="s">
        <v>107</v>
      </c>
      <c r="B32" s="43">
        <f>'D1_Balance Sheet'!B37/'D1_Balance Sheet'!B42</f>
        <v>0.66538718291054744</v>
      </c>
      <c r="C32" s="43">
        <f>'D1_Balance Sheet'!C37/'D1_Balance Sheet'!C42</f>
        <v>0.52418869187019068</v>
      </c>
      <c r="D32" s="43">
        <f>'D1_Balance Sheet'!D37/'D1_Balance Sheet'!D42</f>
        <v>0.5407149369929628</v>
      </c>
      <c r="E32" s="43">
        <f>'D1_Balance Sheet'!E37/'D1_Balance Sheet'!E42</f>
        <v>0.52800518014892928</v>
      </c>
      <c r="F32" s="43">
        <f>'D1_Balance Sheet'!F37/'D1_Balance Sheet'!F42</f>
        <v>0.46602361961293515</v>
      </c>
      <c r="G32" s="43">
        <f>'D1_Balance Sheet'!G37/'D1_Balance Sheet'!G42</f>
        <v>0.72629521016617793</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
  <sheetViews>
    <sheetView topLeftCell="A10" workbookViewId="0">
      <selection activeCell="AH39" sqref="AH39"/>
    </sheetView>
  </sheetViews>
  <sheetFormatPr defaultColWidth="8.85546875" defaultRowHeight="15"/>
  <sheetData>
    <row r="1" spans="1:1">
      <c r="A1" t="s">
        <v>108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M31"/>
  <sheetViews>
    <sheetView topLeftCell="A14" workbookViewId="0">
      <selection activeCell="B26" sqref="B26"/>
    </sheetView>
  </sheetViews>
  <sheetFormatPr defaultColWidth="8.85546875" defaultRowHeight="15"/>
  <cols>
    <col min="1" max="1" width="30.140625" customWidth="1"/>
    <col min="2" max="7" width="13.42578125" customWidth="1"/>
    <col min="9" max="13" width="9.140625" style="12" customWidth="1"/>
  </cols>
  <sheetData>
    <row r="1" spans="1:13">
      <c r="A1" s="1" t="s">
        <v>15</v>
      </c>
      <c r="B1" s="1" t="s">
        <v>16</v>
      </c>
      <c r="C1" s="1" t="s">
        <v>17</v>
      </c>
      <c r="D1" s="1" t="s">
        <v>18</v>
      </c>
      <c r="E1" s="1" t="s">
        <v>19</v>
      </c>
      <c r="F1" s="1" t="s">
        <v>20</v>
      </c>
      <c r="G1" s="1" t="s">
        <v>21</v>
      </c>
      <c r="I1" s="11" t="s">
        <v>22</v>
      </c>
      <c r="J1" s="11" t="s">
        <v>23</v>
      </c>
      <c r="K1" s="11" t="s">
        <v>24</v>
      </c>
      <c r="L1" s="11" t="s">
        <v>25</v>
      </c>
      <c r="M1" s="11" t="s">
        <v>26</v>
      </c>
    </row>
    <row r="2" spans="1:13">
      <c r="B2" s="9">
        <v>2025</v>
      </c>
      <c r="C2" s="9">
        <v>2024</v>
      </c>
      <c r="D2" s="9">
        <v>2023</v>
      </c>
      <c r="E2" s="9">
        <v>2022</v>
      </c>
      <c r="F2" s="9">
        <v>2021</v>
      </c>
      <c r="G2" s="9">
        <v>2020</v>
      </c>
    </row>
    <row r="3" spans="1:13">
      <c r="A3" t="s">
        <v>109</v>
      </c>
    </row>
    <row r="4" spans="1:13">
      <c r="A4" t="s">
        <v>110</v>
      </c>
      <c r="F4">
        <v>126268</v>
      </c>
      <c r="I4">
        <f t="shared" ref="I4:I9" si="0">AVERAGE(B4:G4)</f>
        <v>126268</v>
      </c>
      <c r="J4" t="e">
        <f t="shared" ref="J4:J9" si="1">STDEV(B4:G4)</f>
        <v>#DIV/0!</v>
      </c>
      <c r="K4">
        <f t="shared" ref="K4:K9" si="2">MIN(B4:G4)</f>
        <v>126268</v>
      </c>
      <c r="L4">
        <f t="shared" ref="L4:L9" si="3">MEDIAN(B4:G4)</f>
        <v>126268</v>
      </c>
      <c r="M4">
        <f t="shared" ref="M4:M9" si="4">MAX(B4:G4)</f>
        <v>126268</v>
      </c>
    </row>
    <row r="5" spans="1:13">
      <c r="A5" t="s">
        <v>111</v>
      </c>
      <c r="B5">
        <v>173996</v>
      </c>
      <c r="C5">
        <v>172706</v>
      </c>
      <c r="D5">
        <v>165901</v>
      </c>
      <c r="E5">
        <v>149079</v>
      </c>
      <c r="I5">
        <f t="shared" si="0"/>
        <v>165420.5</v>
      </c>
      <c r="J5">
        <f t="shared" si="1"/>
        <v>11458.522490559882</v>
      </c>
      <c r="K5">
        <f t="shared" si="2"/>
        <v>149079</v>
      </c>
      <c r="L5">
        <f t="shared" si="3"/>
        <v>169303.5</v>
      </c>
      <c r="M5">
        <f t="shared" si="4"/>
        <v>173996</v>
      </c>
    </row>
    <row r="6" spans="1:13">
      <c r="A6" t="s">
        <v>112</v>
      </c>
      <c r="G6">
        <v>115894</v>
      </c>
      <c r="I6">
        <f t="shared" si="0"/>
        <v>115894</v>
      </c>
      <c r="J6" t="e">
        <f t="shared" si="1"/>
        <v>#DIV/0!</v>
      </c>
      <c r="K6">
        <f t="shared" si="2"/>
        <v>115894</v>
      </c>
      <c r="L6">
        <f t="shared" si="3"/>
        <v>115894</v>
      </c>
      <c r="M6">
        <f t="shared" si="4"/>
        <v>115894</v>
      </c>
    </row>
    <row r="7" spans="1:13">
      <c r="A7" t="s">
        <v>113</v>
      </c>
      <c r="G7">
        <v>47</v>
      </c>
      <c r="I7">
        <f t="shared" si="0"/>
        <v>47</v>
      </c>
      <c r="J7" t="e">
        <f t="shared" si="1"/>
        <v>#DIV/0!</v>
      </c>
      <c r="K7">
        <f t="shared" si="2"/>
        <v>47</v>
      </c>
      <c r="L7">
        <f t="shared" si="3"/>
        <v>47</v>
      </c>
      <c r="M7">
        <f t="shared" si="4"/>
        <v>47</v>
      </c>
    </row>
    <row r="8" spans="1:13">
      <c r="A8" t="s">
        <v>114</v>
      </c>
      <c r="B8">
        <v>13271</v>
      </c>
      <c r="C8">
        <v>12286</v>
      </c>
      <c r="D8">
        <v>10290</v>
      </c>
      <c r="E8">
        <v>8978</v>
      </c>
      <c r="F8">
        <v>10073</v>
      </c>
      <c r="G8">
        <v>11203</v>
      </c>
      <c r="I8">
        <f t="shared" si="0"/>
        <v>11016.833333333334</v>
      </c>
      <c r="J8">
        <f t="shared" si="1"/>
        <v>1568.6082259973887</v>
      </c>
      <c r="K8">
        <f t="shared" si="2"/>
        <v>8978</v>
      </c>
      <c r="L8">
        <f t="shared" si="3"/>
        <v>10746.5</v>
      </c>
      <c r="M8">
        <f t="shared" si="4"/>
        <v>13271</v>
      </c>
    </row>
    <row r="9" spans="1:13">
      <c r="A9" t="s">
        <v>115</v>
      </c>
      <c r="B9">
        <v>187267</v>
      </c>
      <c r="C9">
        <v>184992</v>
      </c>
      <c r="D9">
        <v>176191</v>
      </c>
      <c r="E9">
        <v>158057</v>
      </c>
      <c r="F9">
        <v>136341</v>
      </c>
      <c r="G9">
        <v>127144</v>
      </c>
      <c r="I9">
        <f t="shared" si="0"/>
        <v>161665.33333333334</v>
      </c>
      <c r="J9">
        <f t="shared" si="1"/>
        <v>25521.121015086086</v>
      </c>
      <c r="K9">
        <f t="shared" si="2"/>
        <v>127144</v>
      </c>
      <c r="L9">
        <f t="shared" si="3"/>
        <v>167124</v>
      </c>
      <c r="M9">
        <f t="shared" si="4"/>
        <v>187267</v>
      </c>
    </row>
    <row r="10" spans="1:13">
      <c r="A10" t="s">
        <v>116</v>
      </c>
    </row>
    <row r="11" spans="1:13">
      <c r="A11" t="s">
        <v>117</v>
      </c>
      <c r="B11">
        <v>-150550</v>
      </c>
      <c r="C11">
        <v>-158434</v>
      </c>
      <c r="D11">
        <v>-150550</v>
      </c>
      <c r="E11">
        <v>-134397</v>
      </c>
      <c r="F11">
        <v>-114651</v>
      </c>
      <c r="G11">
        <v>-112752</v>
      </c>
      <c r="I11">
        <f t="shared" ref="I11:I22" si="5">AVERAGE(B11:G11)</f>
        <v>-136889</v>
      </c>
      <c r="J11">
        <f t="shared" ref="J11:J22" si="6">STDEV(B11:G11)</f>
        <v>19599.828284962092</v>
      </c>
      <c r="K11">
        <f t="shared" ref="K11:K22" si="7">MIN(B11:G11)</f>
        <v>-158434</v>
      </c>
      <c r="L11">
        <f t="shared" ref="L11:L22" si="8">MEDIAN(B11:G11)</f>
        <v>-142473.5</v>
      </c>
      <c r="M11">
        <f t="shared" ref="M11:M22" si="9">MAX(B11:G11)</f>
        <v>-112752</v>
      </c>
    </row>
    <row r="12" spans="1:13">
      <c r="A12" t="s">
        <v>118</v>
      </c>
      <c r="B12">
        <v>-2460</v>
      </c>
      <c r="C12">
        <v>-2529</v>
      </c>
      <c r="D12">
        <v>-2589</v>
      </c>
      <c r="E12">
        <v>-2281</v>
      </c>
      <c r="F12">
        <v>-1666</v>
      </c>
      <c r="G12">
        <v>-3269</v>
      </c>
      <c r="I12">
        <f t="shared" si="5"/>
        <v>-2465.6666666666665</v>
      </c>
      <c r="J12">
        <f t="shared" si="6"/>
        <v>517.33303264596123</v>
      </c>
      <c r="K12">
        <f t="shared" si="7"/>
        <v>-3269</v>
      </c>
      <c r="L12">
        <f t="shared" si="8"/>
        <v>-2494.5</v>
      </c>
      <c r="M12">
        <f t="shared" si="9"/>
        <v>-1666</v>
      </c>
    </row>
    <row r="13" spans="1:13">
      <c r="A13" t="s">
        <v>119</v>
      </c>
      <c r="E13">
        <v>-881</v>
      </c>
      <c r="F13">
        <v>-796</v>
      </c>
      <c r="G13">
        <v>-1936</v>
      </c>
      <c r="I13">
        <f t="shared" si="5"/>
        <v>-1204.3333333333333</v>
      </c>
      <c r="J13">
        <f t="shared" si="6"/>
        <v>635.06561340804262</v>
      </c>
      <c r="K13">
        <f t="shared" si="7"/>
        <v>-1936</v>
      </c>
      <c r="L13">
        <f t="shared" si="8"/>
        <v>-881</v>
      </c>
      <c r="M13">
        <f t="shared" si="9"/>
        <v>-796</v>
      </c>
    </row>
    <row r="14" spans="1:13">
      <c r="A14" t="s">
        <v>120</v>
      </c>
      <c r="B14">
        <v>-1634</v>
      </c>
      <c r="C14">
        <v>-940</v>
      </c>
      <c r="D14">
        <v>-581</v>
      </c>
      <c r="I14">
        <f t="shared" si="5"/>
        <v>-1051.6666666666667</v>
      </c>
      <c r="J14">
        <f t="shared" si="6"/>
        <v>535.30769967686183</v>
      </c>
      <c r="K14">
        <f t="shared" si="7"/>
        <v>-1634</v>
      </c>
      <c r="L14">
        <f t="shared" si="8"/>
        <v>-940</v>
      </c>
      <c r="M14">
        <f t="shared" si="9"/>
        <v>-581</v>
      </c>
    </row>
    <row r="15" spans="1:13">
      <c r="A15" t="s">
        <v>121</v>
      </c>
      <c r="B15">
        <v>-10849</v>
      </c>
      <c r="C15">
        <v>-10287</v>
      </c>
      <c r="D15">
        <v>-10702</v>
      </c>
      <c r="E15">
        <v>-10888</v>
      </c>
      <c r="F15">
        <v>-11915</v>
      </c>
      <c r="G15">
        <v>-10193</v>
      </c>
      <c r="I15">
        <f t="shared" si="5"/>
        <v>-10805.666666666666</v>
      </c>
      <c r="J15">
        <f t="shared" si="6"/>
        <v>615.53218166613078</v>
      </c>
      <c r="K15">
        <f t="shared" si="7"/>
        <v>-11915</v>
      </c>
      <c r="L15">
        <f t="shared" si="8"/>
        <v>-10775.5</v>
      </c>
      <c r="M15">
        <f t="shared" si="9"/>
        <v>-10193</v>
      </c>
    </row>
    <row r="16" spans="1:13">
      <c r="A16" t="s">
        <v>122</v>
      </c>
      <c r="B16">
        <v>-1254</v>
      </c>
      <c r="C16">
        <v>-1115</v>
      </c>
      <c r="D16">
        <v>-1302</v>
      </c>
      <c r="E16">
        <v>-1259</v>
      </c>
      <c r="F16">
        <v>-1803</v>
      </c>
      <c r="G16">
        <v>-1649</v>
      </c>
      <c r="I16">
        <f t="shared" si="5"/>
        <v>-1397</v>
      </c>
      <c r="J16">
        <f t="shared" si="6"/>
        <v>266.97640345169083</v>
      </c>
      <c r="K16">
        <f t="shared" si="7"/>
        <v>-1803</v>
      </c>
      <c r="L16">
        <f t="shared" si="8"/>
        <v>-1280.5</v>
      </c>
      <c r="M16">
        <f t="shared" si="9"/>
        <v>-1115</v>
      </c>
    </row>
    <row r="17" spans="1:13">
      <c r="A17" t="s">
        <v>123</v>
      </c>
      <c r="B17">
        <v>-7133</v>
      </c>
      <c r="C17">
        <v>-7583</v>
      </c>
      <c r="D17">
        <v>-6311</v>
      </c>
      <c r="E17">
        <v>-3334</v>
      </c>
      <c r="F17">
        <v>-2790</v>
      </c>
      <c r="G17">
        <v>-3402</v>
      </c>
      <c r="I17">
        <f t="shared" si="5"/>
        <v>-5092.166666666667</v>
      </c>
      <c r="J17">
        <f t="shared" si="6"/>
        <v>2149.5390591163186</v>
      </c>
      <c r="K17">
        <f t="shared" si="7"/>
        <v>-7583</v>
      </c>
      <c r="L17">
        <f t="shared" si="8"/>
        <v>-4856.5</v>
      </c>
      <c r="M17">
        <f t="shared" si="9"/>
        <v>-2790</v>
      </c>
    </row>
    <row r="18" spans="1:13">
      <c r="A18" t="s">
        <v>124</v>
      </c>
      <c r="B18">
        <v>-3153</v>
      </c>
      <c r="C18">
        <v>678</v>
      </c>
      <c r="D18">
        <v>414</v>
      </c>
      <c r="E18">
        <v>-2883</v>
      </c>
      <c r="F18">
        <v>327</v>
      </c>
      <c r="G18">
        <v>42</v>
      </c>
      <c r="I18">
        <f t="shared" si="5"/>
        <v>-762.5</v>
      </c>
      <c r="J18">
        <f t="shared" si="6"/>
        <v>1760.9334740415381</v>
      </c>
      <c r="K18">
        <f t="shared" si="7"/>
        <v>-3153</v>
      </c>
      <c r="L18">
        <f t="shared" si="8"/>
        <v>184.5</v>
      </c>
      <c r="M18">
        <f t="shared" si="9"/>
        <v>678</v>
      </c>
    </row>
    <row r="19" spans="1:13">
      <c r="A19" t="s">
        <v>125</v>
      </c>
      <c r="B19">
        <v>1746</v>
      </c>
      <c r="C19">
        <v>2451</v>
      </c>
      <c r="D19">
        <v>-603</v>
      </c>
      <c r="E19">
        <v>-5150</v>
      </c>
      <c r="F19">
        <v>14733</v>
      </c>
      <c r="G19">
        <v>4899</v>
      </c>
      <c r="I19">
        <f t="shared" si="5"/>
        <v>3012.6666666666665</v>
      </c>
      <c r="J19">
        <f t="shared" si="6"/>
        <v>6671.5298595349677</v>
      </c>
      <c r="K19">
        <f t="shared" si="7"/>
        <v>-5150</v>
      </c>
      <c r="L19">
        <f t="shared" si="8"/>
        <v>2098.5</v>
      </c>
      <c r="M19">
        <f t="shared" si="9"/>
        <v>14733</v>
      </c>
    </row>
    <row r="20" spans="1:13">
      <c r="A20" t="s">
        <v>126</v>
      </c>
      <c r="F20">
        <v>4717</v>
      </c>
      <c r="G20">
        <v>2608</v>
      </c>
      <c r="I20">
        <f t="shared" si="5"/>
        <v>3662.5</v>
      </c>
      <c r="J20">
        <f t="shared" si="6"/>
        <v>1491.2882015224288</v>
      </c>
      <c r="K20">
        <f t="shared" si="7"/>
        <v>2608</v>
      </c>
      <c r="L20">
        <f t="shared" si="8"/>
        <v>3662.5</v>
      </c>
      <c r="M20">
        <f t="shared" si="9"/>
        <v>4717</v>
      </c>
    </row>
    <row r="21" spans="1:13">
      <c r="A21" t="s">
        <v>127</v>
      </c>
      <c r="E21">
        <v>2657</v>
      </c>
      <c r="I21">
        <f t="shared" si="5"/>
        <v>2657</v>
      </c>
      <c r="J21" t="e">
        <f t="shared" si="6"/>
        <v>#DIV/0!</v>
      </c>
      <c r="K21">
        <f t="shared" si="7"/>
        <v>2657</v>
      </c>
      <c r="L21">
        <f t="shared" si="8"/>
        <v>2657</v>
      </c>
      <c r="M21">
        <f t="shared" si="9"/>
        <v>2657</v>
      </c>
    </row>
    <row r="22" spans="1:13">
      <c r="A22" t="s">
        <v>128</v>
      </c>
      <c r="B22">
        <v>-11830</v>
      </c>
      <c r="C22">
        <v>7233</v>
      </c>
      <c r="D22">
        <v>3967</v>
      </c>
      <c r="E22">
        <v>-3016</v>
      </c>
      <c r="F22">
        <v>17780</v>
      </c>
      <c r="G22">
        <v>-1116</v>
      </c>
      <c r="I22">
        <f t="shared" si="5"/>
        <v>2169.6666666666665</v>
      </c>
      <c r="J22">
        <f t="shared" si="6"/>
        <v>10062.083972352182</v>
      </c>
      <c r="K22">
        <f t="shared" si="7"/>
        <v>-11830</v>
      </c>
      <c r="L22">
        <f t="shared" si="8"/>
        <v>1425.5</v>
      </c>
      <c r="M22">
        <f t="shared" si="9"/>
        <v>17780</v>
      </c>
    </row>
    <row r="23" spans="1:13">
      <c r="A23" t="s">
        <v>129</v>
      </c>
    </row>
    <row r="24" spans="1:13">
      <c r="A24" t="s">
        <v>130</v>
      </c>
      <c r="B24">
        <v>3668</v>
      </c>
      <c r="C24">
        <v>-1339</v>
      </c>
      <c r="D24">
        <v>362</v>
      </c>
      <c r="E24">
        <v>864</v>
      </c>
      <c r="F24">
        <v>130</v>
      </c>
      <c r="G24">
        <v>-160</v>
      </c>
      <c r="I24">
        <f>AVERAGE(B24:G24)</f>
        <v>587.5</v>
      </c>
      <c r="J24">
        <f>STDEV(B24:G24)</f>
        <v>1679.0620893820455</v>
      </c>
      <c r="K24">
        <f>MIN(B24:G24)</f>
        <v>-1339</v>
      </c>
      <c r="L24">
        <f>MEDIAN(B24:G24)</f>
        <v>246</v>
      </c>
      <c r="M24">
        <f>MAX(B24:G24)</f>
        <v>3668</v>
      </c>
    </row>
    <row r="25" spans="1:13">
      <c r="A25" t="s">
        <v>131</v>
      </c>
      <c r="B25">
        <v>-20</v>
      </c>
      <c r="C25">
        <v>-15</v>
      </c>
      <c r="D25">
        <v>18</v>
      </c>
      <c r="E25">
        <v>171</v>
      </c>
      <c r="F25">
        <v>27</v>
      </c>
      <c r="G25">
        <v>-3</v>
      </c>
      <c r="I25">
        <f>AVERAGE(B25:G25)</f>
        <v>29.666666666666668</v>
      </c>
      <c r="J25">
        <f>STDEV(B25:G25)</f>
        <v>71.620295075255498</v>
      </c>
      <c r="K25">
        <f>MIN(B25:G25)</f>
        <v>-20</v>
      </c>
      <c r="L25">
        <f>MEDIAN(B25:G25)</f>
        <v>7.5</v>
      </c>
      <c r="M25">
        <f>MAX(B25:G25)</f>
        <v>171</v>
      </c>
    </row>
    <row r="26" spans="1:13">
      <c r="A26" t="s">
        <v>132</v>
      </c>
      <c r="B26">
        <v>-8182</v>
      </c>
      <c r="C26">
        <v>5879</v>
      </c>
      <c r="D26">
        <v>4347</v>
      </c>
      <c r="E26">
        <v>-1981</v>
      </c>
      <c r="F26">
        <v>17937</v>
      </c>
      <c r="G26">
        <v>-1279</v>
      </c>
      <c r="I26">
        <f>AVERAGE(B26:G26)</f>
        <v>2786.8333333333335</v>
      </c>
      <c r="J26">
        <f>STDEV(B26:G26)</f>
        <v>8956.5808747907067</v>
      </c>
      <c r="K26">
        <f>MIN(B26:G26)</f>
        <v>-8182</v>
      </c>
      <c r="L26">
        <f>MEDIAN(B26:G26)</f>
        <v>1534</v>
      </c>
      <c r="M26">
        <f>MAX(B26:G26)</f>
        <v>17937</v>
      </c>
    </row>
    <row r="27" spans="1:13">
      <c r="A27" t="s">
        <v>133</v>
      </c>
    </row>
    <row r="28" spans="1:13">
      <c r="A28" t="s">
        <v>134</v>
      </c>
      <c r="B28">
        <v>-9169</v>
      </c>
      <c r="C28">
        <v>5219</v>
      </c>
      <c r="D28">
        <v>5458</v>
      </c>
      <c r="E28">
        <v>6276</v>
      </c>
      <c r="F28">
        <v>4523</v>
      </c>
      <c r="G28">
        <v>-4408</v>
      </c>
      <c r="I28">
        <f>AVERAGE(B28:G28)</f>
        <v>1316.5</v>
      </c>
      <c r="J28">
        <f>STDEV(B28:G28)</f>
        <v>6480.3614328214744</v>
      </c>
      <c r="K28">
        <f>MIN(B28:G28)</f>
        <v>-9169</v>
      </c>
      <c r="L28">
        <f>MEDIAN(B28:G28)</f>
        <v>4871</v>
      </c>
      <c r="M28">
        <f>MAX(B28:G28)</f>
        <v>6276</v>
      </c>
    </row>
    <row r="29" spans="1:13">
      <c r="A29" t="s">
        <v>135</v>
      </c>
      <c r="B29">
        <v>-2.06</v>
      </c>
      <c r="C29">
        <v>1.48</v>
      </c>
      <c r="D29">
        <v>1.0900000000000001</v>
      </c>
      <c r="E29">
        <v>-0.49</v>
      </c>
      <c r="F29">
        <v>4.49</v>
      </c>
      <c r="G29">
        <v>-0.32</v>
      </c>
      <c r="I29">
        <f>AVERAGE(B29:G29)</f>
        <v>0.69833333333333325</v>
      </c>
      <c r="J29">
        <f>STDEV(B29:G29)</f>
        <v>2.244935782303509</v>
      </c>
      <c r="K29">
        <f>MIN(B29:G29)</f>
        <v>-2.06</v>
      </c>
      <c r="L29">
        <f>MEDIAN(B29:G29)</f>
        <v>0.38500000000000006</v>
      </c>
      <c r="M29">
        <f>MAX(B29:G29)</f>
        <v>4.49</v>
      </c>
    </row>
    <row r="30" spans="1:13">
      <c r="A30" t="s">
        <v>136</v>
      </c>
      <c r="B30">
        <v>-2.06</v>
      </c>
      <c r="C30">
        <v>1.46</v>
      </c>
      <c r="D30">
        <v>1.08</v>
      </c>
      <c r="E30">
        <v>-0.49</v>
      </c>
      <c r="F30">
        <v>4.45</v>
      </c>
      <c r="G30">
        <v>-0.32</v>
      </c>
      <c r="I30">
        <f>AVERAGE(B30:G30)</f>
        <v>0.68666666666666665</v>
      </c>
      <c r="J30">
        <f>STDEV(B30:G30)</f>
        <v>2.2296875715370232</v>
      </c>
      <c r="K30">
        <f>MIN(B30:G30)</f>
        <v>-2.06</v>
      </c>
      <c r="L30">
        <f>MEDIAN(B30:G30)</f>
        <v>0.38000000000000006</v>
      </c>
      <c r="M30">
        <f>MAX(B30:G30)</f>
        <v>4.45</v>
      </c>
    </row>
    <row r="31" spans="1:13">
      <c r="A31" t="s">
        <v>137</v>
      </c>
      <c r="B31">
        <f>B26/B30</f>
        <v>3971.8446601941746</v>
      </c>
      <c r="C31">
        <f>C26/C30</f>
        <v>4026.7123287671234</v>
      </c>
      <c r="D31">
        <f>D26/D30</f>
        <v>4024.9999999999995</v>
      </c>
      <c r="E31">
        <f>E26/E30</f>
        <v>4042.8571428571431</v>
      </c>
      <c r="F31">
        <f>F26/F30</f>
        <v>4030.7865168539324</v>
      </c>
      <c r="G31">
        <f>G26/G30</f>
        <v>3996.875</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J30"/>
  <sheetViews>
    <sheetView topLeftCell="A9" workbookViewId="0">
      <selection activeCell="A23" sqref="A23"/>
    </sheetView>
  </sheetViews>
  <sheetFormatPr defaultColWidth="8.85546875" defaultRowHeight="15"/>
  <cols>
    <col min="1" max="1" width="31.85546875" customWidth="1"/>
    <col min="2" max="7" width="14.140625" customWidth="1"/>
  </cols>
  <sheetData>
    <row r="1" spans="1:10">
      <c r="A1" s="1" t="s">
        <v>15</v>
      </c>
      <c r="B1" s="1" t="s">
        <v>16</v>
      </c>
      <c r="C1" s="1" t="s">
        <v>17</v>
      </c>
      <c r="D1" s="1" t="s">
        <v>18</v>
      </c>
      <c r="E1" s="1" t="s">
        <v>19</v>
      </c>
      <c r="F1" s="1" t="s">
        <v>20</v>
      </c>
      <c r="G1" s="1" t="s">
        <v>21</v>
      </c>
      <c r="H1" s="1"/>
    </row>
    <row r="2" spans="1:10">
      <c r="B2" s="37">
        <v>2025</v>
      </c>
      <c r="C2" s="37">
        <v>2024</v>
      </c>
      <c r="D2" s="37">
        <v>2023</v>
      </c>
      <c r="E2" s="37">
        <v>2022</v>
      </c>
      <c r="F2" s="37">
        <v>2021</v>
      </c>
      <c r="G2" s="37">
        <v>2020</v>
      </c>
    </row>
    <row r="3" spans="1:10">
      <c r="A3" s="1" t="s">
        <v>109</v>
      </c>
      <c r="J3" t="s">
        <v>138</v>
      </c>
    </row>
    <row r="4" spans="1:10">
      <c r="A4" t="s">
        <v>110</v>
      </c>
      <c r="B4" s="38"/>
      <c r="C4" s="38"/>
      <c r="D4" s="38"/>
      <c r="E4" s="38"/>
      <c r="F4" s="38">
        <f>D1_IncomeStatment!F4/D1_IncomeStatment!$F$9</f>
        <v>0.9261190690988037</v>
      </c>
      <c r="G4" s="38"/>
    </row>
    <row r="5" spans="1:10">
      <c r="A5" t="s">
        <v>111</v>
      </c>
      <c r="B5" s="39">
        <f>D1_IncomeStatment!B5/D1_IncomeStatment!$B$9</f>
        <v>0.92913326960970166</v>
      </c>
      <c r="C5" s="39">
        <f>D1_IncomeStatment!C5/D1_IncomeStatment!$C$9</f>
        <v>0.93358631724615115</v>
      </c>
      <c r="D5" s="39">
        <f>D1_IncomeStatment!D5/D1_IncomeStatment!$D$9</f>
        <v>0.94159747092643775</v>
      </c>
      <c r="E5" s="39">
        <f>D1_IncomeStatment!E5/D1_IncomeStatment!$E$9</f>
        <v>0.94319770715627904</v>
      </c>
      <c r="F5" s="39">
        <f>D1_IncomeStatment!F5/D1_IncomeStatment!$F$9</f>
        <v>0</v>
      </c>
      <c r="G5" s="39">
        <f>D1_IncomeStatment!G5/D1_IncomeStatment!$G$9</f>
        <v>0</v>
      </c>
    </row>
    <row r="6" spans="1:10">
      <c r="A6" t="s">
        <v>112</v>
      </c>
      <c r="B6" s="39"/>
      <c r="C6" s="39"/>
      <c r="D6" s="39"/>
      <c r="E6" s="39"/>
      <c r="F6" s="39"/>
      <c r="G6" s="39">
        <f>D1_IncomeStatment!G6/D1_IncomeStatment!$G$9</f>
        <v>0.91151764927955703</v>
      </c>
    </row>
    <row r="7" spans="1:10">
      <c r="A7" t="s">
        <v>113</v>
      </c>
      <c r="B7" s="39"/>
      <c r="C7" s="39"/>
      <c r="D7" s="39"/>
      <c r="E7" s="39"/>
      <c r="F7" s="39"/>
      <c r="G7" s="39">
        <f>D1_IncomeStatment!G7/D1_IncomeStatment!$G$9</f>
        <v>3.6965959856540616E-4</v>
      </c>
    </row>
    <row r="8" spans="1:10">
      <c r="A8" t="s">
        <v>114</v>
      </c>
      <c r="B8" s="39">
        <f>D1_IncomeStatment!B8/D1_IncomeStatment!$B$9</f>
        <v>7.0866730390298338E-2</v>
      </c>
      <c r="C8" s="39">
        <f>D1_IncomeStatment!C8/D1_IncomeStatment!$C$9</f>
        <v>6.6413682753848818E-2</v>
      </c>
      <c r="D8" s="39">
        <f>D1_IncomeStatment!D8/D1_IncomeStatment!$D$9</f>
        <v>5.8402529073562214E-2</v>
      </c>
      <c r="E8" s="39">
        <f>D1_IncomeStatment!E8/D1_IncomeStatment!$E$9</f>
        <v>5.6802292843720938E-2</v>
      </c>
      <c r="F8" s="39">
        <f>D1_IncomeStatment!F8/D1_IncomeStatment!$F$9</f>
        <v>7.3880930901196268E-2</v>
      </c>
      <c r="G8" s="39">
        <f>D1_IncomeStatment!G8/D1_IncomeStatment!$G$9</f>
        <v>8.8112691121877557E-2</v>
      </c>
    </row>
    <row r="9" spans="1:10">
      <c r="A9" t="s">
        <v>115</v>
      </c>
      <c r="B9" s="39">
        <f>D1_IncomeStatment!B9/D1_IncomeStatment!$B$9</f>
        <v>1</v>
      </c>
      <c r="C9" s="39">
        <f>D1_IncomeStatment!C9/D1_IncomeStatment!$C$9</f>
        <v>1</v>
      </c>
      <c r="D9" s="39">
        <f>D1_IncomeStatment!D9/D1_IncomeStatment!$D$9</f>
        <v>1</v>
      </c>
      <c r="E9" s="39">
        <f>D1_IncomeStatment!E9/D1_IncomeStatment!$E$9</f>
        <v>1</v>
      </c>
      <c r="F9" s="39">
        <f>D1_IncomeStatment!F9/D1_IncomeStatment!$F$9</f>
        <v>1</v>
      </c>
      <c r="G9" s="39">
        <f>D1_IncomeStatment!G9/D1_IncomeStatment!$G$9</f>
        <v>1</v>
      </c>
    </row>
    <row r="10" spans="1:10">
      <c r="A10" s="1" t="s">
        <v>116</v>
      </c>
      <c r="B10" s="39"/>
      <c r="C10" s="39"/>
      <c r="D10" s="39"/>
      <c r="E10" s="39"/>
      <c r="F10" s="39"/>
      <c r="G10" s="39"/>
    </row>
    <row r="11" spans="1:10">
      <c r="A11" t="s">
        <v>117</v>
      </c>
      <c r="B11" s="39">
        <f>D1_IncomeStatment!B11/D1_IncomeStatment!$B$9</f>
        <v>-0.8039323532709981</v>
      </c>
      <c r="C11" s="39">
        <f>D1_IncomeStatment!C11/D1_IncomeStatment!$C$9</f>
        <v>-0.856437035115032</v>
      </c>
      <c r="D11" s="39">
        <f>D1_IncomeStatment!D11/D1_IncomeStatment!$D$9</f>
        <v>-0.85447043265547051</v>
      </c>
      <c r="E11" s="39">
        <f>D1_IncomeStatment!E11/D1_IncomeStatment!$E$9</f>
        <v>-0.85030716766736048</v>
      </c>
      <c r="F11" s="39">
        <f>D1_IncomeStatment!F11/D1_IncomeStatment!$F$9</f>
        <v>-0.84091359165621493</v>
      </c>
      <c r="G11" s="39">
        <f>D1_IncomeStatment!G11/D1_IncomeStatment!$G$9</f>
        <v>-0.88680551186056755</v>
      </c>
    </row>
    <row r="12" spans="1:10">
      <c r="A12" t="s">
        <v>118</v>
      </c>
      <c r="B12" s="39">
        <f>D1_IncomeStatment!B12/D1_IncomeStatment!$B$9</f>
        <v>-1.3136324072046863E-2</v>
      </c>
      <c r="C12" s="39">
        <f>D1_IncomeStatment!C12/D1_IncomeStatment!$C$9</f>
        <v>-1.367086144265698E-2</v>
      </c>
      <c r="D12" s="39">
        <f>D1_IncomeStatment!D12/D1_IncomeStatment!$D$9</f>
        <v>-1.4694280638625129E-2</v>
      </c>
      <c r="E12" s="39">
        <f>D1_IncomeStatment!E12/D1_IncomeStatment!$E$9</f>
        <v>-1.4431502559203325E-2</v>
      </c>
      <c r="F12" s="39">
        <f>D1_IncomeStatment!F12/D1_IncomeStatment!$F$9</f>
        <v>-1.22193617473834E-2</v>
      </c>
      <c r="G12" s="39">
        <f>D1_IncomeStatment!G12/D1_IncomeStatment!$G$9</f>
        <v>-2.571100484490027E-2</v>
      </c>
    </row>
    <row r="13" spans="1:10">
      <c r="A13" t="s">
        <v>119</v>
      </c>
      <c r="B13" s="39"/>
      <c r="C13" s="39"/>
      <c r="D13" s="39"/>
      <c r="E13" s="39">
        <f>D1_IncomeStatment!E13/D1_IncomeStatment!$E$9</f>
        <v>-5.5739385158518765E-3</v>
      </c>
      <c r="F13" s="39">
        <f>D1_IncomeStatment!F13/D1_IncomeStatment!$F$9</f>
        <v>-5.83830249154693E-3</v>
      </c>
      <c r="G13" s="39">
        <f>D1_IncomeStatment!G13/D1_IncomeStatment!$G$9</f>
        <v>-1.5226829421758006E-2</v>
      </c>
    </row>
    <row r="14" spans="1:10">
      <c r="A14" t="s">
        <v>120</v>
      </c>
      <c r="B14" s="39">
        <f>D1_IncomeStatment!B14/D1_IncomeStatment!$B$9</f>
        <v>-8.7255095665547053E-3</v>
      </c>
      <c r="C14" s="39">
        <f>D1_IncomeStatment!C14/D1_IncomeStatment!$C$9</f>
        <v>-5.08130081300813E-3</v>
      </c>
      <c r="D14" s="39">
        <f>D1_IncomeStatment!D14/D1_IncomeStatment!$D$9</f>
        <v>-3.2975577640174582E-3</v>
      </c>
      <c r="E14" s="39"/>
      <c r="F14" s="39"/>
      <c r="G14" s="39"/>
    </row>
    <row r="15" spans="1:10">
      <c r="A15" t="s">
        <v>121</v>
      </c>
      <c r="B15" s="39">
        <f>D1_IncomeStatment!B15/D1_IncomeStatment!$B$9</f>
        <v>-5.793332514538066E-2</v>
      </c>
      <c r="C15" s="39">
        <f>D1_IncomeStatment!C15/D1_IncomeStatment!$C$9</f>
        <v>-5.5607810067462377E-2</v>
      </c>
      <c r="D15" s="39">
        <f>D1_IncomeStatment!D15/D1_IncomeStatment!$D$9</f>
        <v>-6.0740900500025542E-2</v>
      </c>
      <c r="E15" s="39">
        <f>D1_IncomeStatment!E15/D1_IncomeStatment!$E$9</f>
        <v>-6.8886540931436133E-2</v>
      </c>
      <c r="F15" s="39">
        <f>D1_IncomeStatment!F15/D1_IncomeStatment!$F$9</f>
        <v>-8.7391173601484518E-2</v>
      </c>
      <c r="G15" s="39">
        <f>D1_IncomeStatment!G15/D1_IncomeStatment!$G$9</f>
        <v>-8.0168942301642232E-2</v>
      </c>
    </row>
    <row r="16" spans="1:10">
      <c r="A16" t="s">
        <v>122</v>
      </c>
      <c r="B16" s="39">
        <f>D1_IncomeStatment!B16/D1_IncomeStatment!$B$9</f>
        <v>-6.6963212952629129E-3</v>
      </c>
      <c r="C16" s="39">
        <f>D1_IncomeStatment!C16/D1_IncomeStatment!$C$9</f>
        <v>-6.0272876664936859E-3</v>
      </c>
      <c r="D16" s="39">
        <f>D1_IncomeStatment!D16/D1_IncomeStatment!$D$9</f>
        <v>-7.3897077603282801E-3</v>
      </c>
      <c r="E16" s="39">
        <f>D1_IncomeStatment!E16/D1_IncomeStatment!$E$9</f>
        <v>-7.9654808075567667E-3</v>
      </c>
      <c r="F16" s="39">
        <f>D1_IncomeStatment!F16/D1_IncomeStatment!$F$9</f>
        <v>-1.3224195216405924E-2</v>
      </c>
      <c r="G16" s="39">
        <f>D1_IncomeStatment!G16/D1_IncomeStatment!$G$9</f>
        <v>-1.2969546341156483E-2</v>
      </c>
    </row>
    <row r="17" spans="1:7">
      <c r="A17" t="s">
        <v>123</v>
      </c>
      <c r="B17" s="39">
        <f>D1_IncomeStatment!B17/D1_IncomeStatment!$B$9</f>
        <v>-3.8089999839800923E-2</v>
      </c>
      <c r="C17" s="39">
        <f>D1_IncomeStatment!C17/D1_IncomeStatment!$C$9</f>
        <v>-4.0990961771319841E-2</v>
      </c>
      <c r="D17" s="39">
        <f>D1_IncomeStatment!D17/D1_IncomeStatment!$D$9</f>
        <v>-3.5819082700024409E-2</v>
      </c>
      <c r="E17" s="39">
        <f>D1_IncomeStatment!E17/D1_IncomeStatment!$E$9</f>
        <v>-2.1093656086095522E-2</v>
      </c>
      <c r="F17" s="39">
        <f>D1_IncomeStatment!F17/D1_IncomeStatment!$F$9</f>
        <v>-2.0463396923889366E-2</v>
      </c>
      <c r="G17" s="39">
        <f>D1_IncomeStatment!G17/D1_IncomeStatment!$G$9</f>
        <v>-2.6757062857861953E-2</v>
      </c>
    </row>
    <row r="18" spans="1:7">
      <c r="A18" t="s">
        <v>124</v>
      </c>
      <c r="B18" s="39">
        <f>D1_IncomeStatment!B18/D1_IncomeStatment!$B$9</f>
        <v>-1.6836922682586894E-2</v>
      </c>
      <c r="C18" s="39">
        <f>D1_IncomeStatment!C18/D1_IncomeStatment!$C$9</f>
        <v>3.6650233523611831E-3</v>
      </c>
      <c r="D18" s="39">
        <f>D1_IncomeStatment!D18/D1_IncomeStatment!$D$9</f>
        <v>2.3497227440675175E-3</v>
      </c>
      <c r="E18" s="39">
        <f>D1_IncomeStatment!E18/D1_IncomeStatment!$E$9</f>
        <v>-1.8240255097844448E-2</v>
      </c>
      <c r="F18" s="39">
        <f>D1_IncomeStatment!F18/D1_IncomeStatment!$F$9</f>
        <v>2.3983981340902588E-3</v>
      </c>
      <c r="G18" s="39">
        <f>D1_IncomeStatment!G18/D1_IncomeStatment!$G$9</f>
        <v>3.3033410935632038E-4</v>
      </c>
    </row>
    <row r="19" spans="1:7">
      <c r="A19" t="s">
        <v>125</v>
      </c>
      <c r="B19" s="39">
        <f>D1_IncomeStatment!B19/D1_IncomeStatment!$B$9</f>
        <v>9.3235861096722869E-3</v>
      </c>
      <c r="C19" s="39">
        <f>D1_IncomeStatment!C19/D1_IncomeStatment!$C$9</f>
        <v>1.3249221587960561E-2</v>
      </c>
      <c r="D19" s="39">
        <f>D1_IncomeStatment!D19/D1_IncomeStatment!$D$9</f>
        <v>-3.4224222576635585E-3</v>
      </c>
      <c r="E19" s="39">
        <f>D1_IncomeStatment!E19/D1_IncomeStatment!$E$9</f>
        <v>-3.2583182016614261E-2</v>
      </c>
      <c r="F19" s="39">
        <f>D1_IncomeStatment!F19/D1_IncomeStatment!$F$9</f>
        <v>0.10805993794969965</v>
      </c>
      <c r="G19" s="39">
        <f>D1_IncomeStatment!G19/D1_IncomeStatment!$G$9</f>
        <v>3.853111432706223E-2</v>
      </c>
    </row>
    <row r="20" spans="1:7">
      <c r="A20" t="s">
        <v>126</v>
      </c>
      <c r="B20" s="39"/>
      <c r="C20" s="39"/>
      <c r="D20" s="39"/>
      <c r="E20" s="39">
        <f>D1_IncomeStatment!E20/D1_IncomeStatment!$E$9</f>
        <v>0</v>
      </c>
      <c r="F20" s="39">
        <f>D1_IncomeStatment!F20/D1_IncomeStatment!$F$9</f>
        <v>3.4597076448023706E-2</v>
      </c>
      <c r="G20" s="39">
        <f>D1_IncomeStatment!G20/D1_IncomeStatment!$G$9</f>
        <v>2.0512175171459132E-2</v>
      </c>
    </row>
    <row r="21" spans="1:7">
      <c r="A21" t="s">
        <v>127</v>
      </c>
      <c r="B21" s="39"/>
      <c r="C21" s="39"/>
      <c r="D21" s="39"/>
      <c r="E21" s="39">
        <f>D1_IncomeStatment!E21/D1_IncomeStatment!$E$9</f>
        <v>1.6810391187989143E-2</v>
      </c>
      <c r="F21" s="39">
        <f>D1_IncomeStatment!F21/D1_IncomeStatment!$F$9</f>
        <v>0</v>
      </c>
      <c r="G21" s="39">
        <f>D1_IncomeStatment!G21/D1_IncomeStatment!$G$9</f>
        <v>0</v>
      </c>
    </row>
    <row r="22" spans="1:7">
      <c r="A22" t="s">
        <v>128</v>
      </c>
      <c r="B22" s="39">
        <f>D1_IncomeStatment!B22/D1_IncomeStatment!$B$9</f>
        <v>-6.3171834866794466E-2</v>
      </c>
      <c r="C22" s="39">
        <f>D1_IncomeStatment!C22/D1_IncomeStatment!$C$9</f>
        <v>3.9098988064348729E-2</v>
      </c>
      <c r="D22" s="39">
        <f>D1_IncomeStatment!D22/D1_IncomeStatment!$D$9</f>
        <v>2.2515338467912663E-2</v>
      </c>
      <c r="E22" s="39">
        <f>D1_IncomeStatment!E22/D1_IncomeStatment!$E$9</f>
        <v>-1.9081723681962835E-2</v>
      </c>
      <c r="F22" s="39">
        <f>D1_IncomeStatment!F22/D1_IncomeStatment!$F$9</f>
        <v>0.13040831444686485</v>
      </c>
      <c r="G22" s="39">
        <f>D1_IncomeStatment!G22/D1_IncomeStatment!$G$9</f>
        <v>-8.7774491914679419E-3</v>
      </c>
    </row>
    <row r="23" spans="1:7">
      <c r="A23" s="1" t="s">
        <v>129</v>
      </c>
      <c r="B23" s="39"/>
      <c r="C23" s="39"/>
      <c r="D23" s="39"/>
      <c r="E23" s="39"/>
      <c r="F23" s="39"/>
      <c r="G23" s="39"/>
    </row>
    <row r="24" spans="1:7">
      <c r="A24" t="s">
        <v>130</v>
      </c>
      <c r="B24" s="39">
        <f>D1_IncomeStatment!B24/D1_IncomeStatment!$B$9</f>
        <v>1.9587006787100771E-2</v>
      </c>
      <c r="C24" s="39">
        <f>D1_IncomeStatment!C24/D1_IncomeStatment!$C$9</f>
        <v>-7.2381508389551983E-3</v>
      </c>
      <c r="D24" s="39">
        <f>D1_IncomeStatment!D24/D1_IncomeStatment!$D$9</f>
        <v>2.0545884863585541E-3</v>
      </c>
      <c r="E24" s="39">
        <f>D1_IncomeStatment!E24/D1_IncomeStatment!$E$9</f>
        <v>5.4663823810397515E-3</v>
      </c>
      <c r="F24" s="39">
        <f>D1_IncomeStatment!F24/D1_IncomeStatment!$F$9</f>
        <v>9.5349161294108157E-4</v>
      </c>
      <c r="G24" s="39">
        <f>D1_IncomeStatment!G24/D1_IncomeStatment!$G$9</f>
        <v>-1.2584156546907442E-3</v>
      </c>
    </row>
    <row r="25" spans="1:7">
      <c r="A25" t="s">
        <v>131</v>
      </c>
      <c r="B25" s="39">
        <f>D1_IncomeStatment!B25/D1_IncomeStatment!$B$9</f>
        <v>-1.0679938269956799E-4</v>
      </c>
      <c r="C25" s="39">
        <f>D1_IncomeStatment!C25/D1_IncomeStatment!$C$9</f>
        <v>-8.1084587441619096E-5</v>
      </c>
      <c r="D25" s="39">
        <f>D1_IncomeStatment!D25/D1_IncomeStatment!$D$9</f>
        <v>1.0216185843771815E-4</v>
      </c>
      <c r="E25" s="39">
        <f>D1_IncomeStatment!E25/D1_IncomeStatment!$E$9</f>
        <v>1.0818881795807841E-3</v>
      </c>
      <c r="F25" s="39">
        <f>D1_IncomeStatment!F25/D1_IncomeStatment!$F$9</f>
        <v>1.9803287345699386E-4</v>
      </c>
      <c r="G25" s="39">
        <f>D1_IncomeStatment!G25/D1_IncomeStatment!$G$9</f>
        <v>-2.3595293525451456E-5</v>
      </c>
    </row>
    <row r="26" spans="1:7">
      <c r="A26" t="s">
        <v>132</v>
      </c>
      <c r="B26" s="39">
        <f>D1_IncomeStatment!B26/D1_IncomeStatment!$B$9</f>
        <v>-4.3691627462393266E-2</v>
      </c>
      <c r="C26" s="39">
        <f>D1_IncomeStatment!C26/D1_IncomeStatment!$C$9</f>
        <v>3.1779752637951908E-2</v>
      </c>
      <c r="D26" s="39">
        <f>D1_IncomeStatment!D26/D1_IncomeStatment!$D$9</f>
        <v>2.4672088812708937E-2</v>
      </c>
      <c r="E26" s="39">
        <f>D1_IncomeStatment!E26/D1_IncomeStatment!$E$9</f>
        <v>-1.2533453121342301E-2</v>
      </c>
      <c r="F26" s="39">
        <f>D1_IncomeStatment!F26/D1_IncomeStatment!$F$9</f>
        <v>0.13155983893326292</v>
      </c>
      <c r="G26" s="39">
        <f>D1_IncomeStatment!G26/D1_IncomeStatment!$G$9</f>
        <v>-1.0059460139684138E-2</v>
      </c>
    </row>
    <row r="27" spans="1:7">
      <c r="A27" t="s">
        <v>133</v>
      </c>
      <c r="B27" s="39"/>
      <c r="C27" s="39"/>
      <c r="D27" s="39"/>
      <c r="E27" s="39"/>
      <c r="F27" s="39"/>
      <c r="G27" s="39"/>
    </row>
    <row r="28" spans="1:7">
      <c r="A28" t="s">
        <v>134</v>
      </c>
      <c r="B28" s="39">
        <f>D1_IncomeStatment!B28/D1_IncomeStatment!$B$9</f>
        <v>-4.8962176998616949E-2</v>
      </c>
      <c r="C28" s="39">
        <f>D1_IncomeStatment!C28/D1_IncomeStatment!$C$9</f>
        <v>2.8212030790520672E-2</v>
      </c>
      <c r="D28" s="39">
        <f>D1_IncomeStatment!D28/D1_IncomeStatment!$D$9</f>
        <v>3.0977745741836985E-2</v>
      </c>
      <c r="E28" s="39">
        <f>D1_IncomeStatment!E28/D1_IncomeStatment!$E$9</f>
        <v>3.9707194240052639E-2</v>
      </c>
      <c r="F28" s="39">
        <f>D1_IncomeStatment!F28/D1_IncomeStatment!$F$9</f>
        <v>3.317417357948086E-2</v>
      </c>
      <c r="G28" s="39">
        <f>D1_IncomeStatment!G28/D1_IncomeStatment!$G$9</f>
        <v>-3.4669351286730009E-2</v>
      </c>
    </row>
    <row r="29" spans="1:7">
      <c r="A29" t="s">
        <v>135</v>
      </c>
      <c r="B29" s="39">
        <f>D1_IncomeStatment!B29/D1_IncomeStatment!$B$9</f>
        <v>-1.1000336418055504E-5</v>
      </c>
      <c r="C29" s="39">
        <f>D1_IncomeStatment!C29/D1_IncomeStatment!$C$9</f>
        <v>8.0003459609064169E-6</v>
      </c>
      <c r="D29" s="39">
        <f>D1_IncomeStatment!D29/D1_IncomeStatment!$D$9</f>
        <v>6.1864680942840445E-6</v>
      </c>
      <c r="E29" s="39">
        <f>D1_IncomeStatment!E29/D1_IncomeStatment!$E$9</f>
        <v>-3.1001474151730072E-6</v>
      </c>
      <c r="F29" s="39">
        <f>D1_IncomeStatment!F29/D1_IncomeStatment!$F$9</f>
        <v>3.2932133400811206E-5</v>
      </c>
      <c r="G29" s="39">
        <f>D1_IncomeStatment!G29/D1_IncomeStatment!$G$9</f>
        <v>-2.5168313093814886E-6</v>
      </c>
    </row>
    <row r="30" spans="1:7">
      <c r="A30" t="s">
        <v>136</v>
      </c>
      <c r="B30" s="39">
        <f>D1_IncomeStatment!B30/D1_IncomeStatment!$B$9</f>
        <v>-1.1000336418055504E-5</v>
      </c>
      <c r="C30" s="39">
        <f>D1_IncomeStatment!C30/D1_IncomeStatment!$C$9</f>
        <v>7.8922331776509245E-6</v>
      </c>
      <c r="D30" s="39">
        <f>D1_IncomeStatment!D30/D1_IncomeStatment!$D$9</f>
        <v>6.1297115062630901E-6</v>
      </c>
      <c r="E30" s="39">
        <f>D1_IncomeStatment!E30/D1_IncomeStatment!$E$9</f>
        <v>-3.1001474151730072E-6</v>
      </c>
      <c r="F30" s="39">
        <f>D1_IncomeStatment!F30/D1_IncomeStatment!$F$9</f>
        <v>3.2638751366060104E-5</v>
      </c>
      <c r="G30" s="39">
        <f>D1_IncomeStatment!G30/D1_IncomeStatment!$G$9</f>
        <v>-2.5168313093814886E-6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E69F-92DD-44D8-B331-64968B07BCA3}">
  <sheetPr>
    <tabColor rgb="FFFFFF00"/>
  </sheetPr>
  <dimension ref="A1"/>
  <sheetViews>
    <sheetView workbookViewId="0">
      <selection activeCell="S45" sqref="S45"/>
    </sheetView>
  </sheetViews>
  <sheetFormatPr defaultColWidth="8.85546875" defaultRowHeight="1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G7"/>
  <sheetViews>
    <sheetView workbookViewId="0">
      <selection activeCell="I13" sqref="I13"/>
    </sheetView>
  </sheetViews>
  <sheetFormatPr defaultColWidth="8.85546875" defaultRowHeight="15"/>
  <cols>
    <col min="2" max="2" width="12" bestFit="1" customWidth="1"/>
    <col min="3" max="3" width="14.28515625" bestFit="1" customWidth="1"/>
    <col min="4" max="7" width="12" bestFit="1" customWidth="1"/>
  </cols>
  <sheetData>
    <row r="1" spans="1:7">
      <c r="A1" t="s">
        <v>108</v>
      </c>
    </row>
    <row r="2" spans="1:7">
      <c r="A2" t="s">
        <v>139</v>
      </c>
    </row>
    <row r="4" spans="1:7">
      <c r="A4" t="s">
        <v>75</v>
      </c>
      <c r="B4">
        <v>2020</v>
      </c>
      <c r="C4">
        <v>2021</v>
      </c>
      <c r="D4">
        <v>2022</v>
      </c>
      <c r="E4">
        <v>2023</v>
      </c>
      <c r="F4">
        <v>2024</v>
      </c>
      <c r="G4">
        <v>2025</v>
      </c>
    </row>
    <row r="5" spans="1:7">
      <c r="A5" t="s">
        <v>86</v>
      </c>
      <c r="B5" s="66">
        <f>'D3_Analysis of Income Statment'!G4</f>
        <v>127144</v>
      </c>
      <c r="C5" s="67">
        <f>'D3_Analysis of Income Statment'!F4</f>
        <v>136341</v>
      </c>
      <c r="D5" s="67">
        <f>'D3_Analysis of Income Statment'!E4</f>
        <v>158057</v>
      </c>
      <c r="E5" s="67">
        <f>'D3_Analysis of Income Statment'!D4</f>
        <v>176191</v>
      </c>
      <c r="F5" s="67">
        <f>'D3_Analysis of Income Statment'!C4</f>
        <v>184992</v>
      </c>
      <c r="G5" s="67">
        <f>'D3_Analysis of Income Statment'!B4</f>
        <v>187267</v>
      </c>
    </row>
    <row r="6" spans="1:7">
      <c r="A6" t="s">
        <v>140</v>
      </c>
      <c r="B6" s="66">
        <f>'D3_Analysis of Income Statment'!G10</f>
        <v>-4408</v>
      </c>
      <c r="C6" s="67">
        <f>'D3_Analysis of Income Statment'!F10</f>
        <v>4523</v>
      </c>
      <c r="D6" s="67">
        <f>'D3_Analysis of Income Statment'!E10</f>
        <v>6276</v>
      </c>
      <c r="E6" s="67">
        <f>'D3_Analysis of Income Statment'!D10</f>
        <v>5458</v>
      </c>
      <c r="F6" s="67">
        <f>'D3_Analysis of Income Statment'!C10</f>
        <v>5219</v>
      </c>
      <c r="G6" s="67">
        <f>'D3_Analysis of Income Statment'!B10</f>
        <v>-9169</v>
      </c>
    </row>
    <row r="7" spans="1:7">
      <c r="A7" t="s">
        <v>141</v>
      </c>
      <c r="B7" s="66">
        <f>'D3_Analysis of Income Statment'!G13</f>
        <v>-1279</v>
      </c>
      <c r="C7" s="67">
        <f>'D3_Analysis of Income Statment'!F13</f>
        <v>17937</v>
      </c>
      <c r="D7" s="67">
        <f>'D3_Analysis of Income Statment'!E13</f>
        <v>-1981</v>
      </c>
      <c r="E7" s="67">
        <f>'D3_Analysis of Income Statment'!D13</f>
        <v>4347</v>
      </c>
      <c r="F7" s="67">
        <f>'D3_Analysis of Income Statment'!C13</f>
        <v>5879</v>
      </c>
      <c r="G7" s="67">
        <f>'D3_Analysis of Income Statment'!B13</f>
        <v>-8182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2:H41"/>
  <sheetViews>
    <sheetView workbookViewId="0">
      <selection activeCell="B7" sqref="B7"/>
    </sheetView>
  </sheetViews>
  <sheetFormatPr defaultColWidth="8.85546875" defaultRowHeight="15"/>
  <cols>
    <col min="1" max="1" width="40.42578125" bestFit="1" customWidth="1"/>
    <col min="2" max="8" width="13.140625" customWidth="1"/>
  </cols>
  <sheetData>
    <row r="2" spans="1:8">
      <c r="B2" s="8">
        <v>2025</v>
      </c>
      <c r="C2" s="8">
        <v>2024</v>
      </c>
      <c r="D2" s="8">
        <v>2023</v>
      </c>
      <c r="E2" s="8">
        <v>2022</v>
      </c>
      <c r="F2" s="8">
        <v>2021</v>
      </c>
      <c r="G2" s="8">
        <v>2020</v>
      </c>
    </row>
    <row r="3" spans="1:8">
      <c r="A3" s="8" t="s">
        <v>15</v>
      </c>
      <c r="B3" s="8"/>
      <c r="C3" s="8"/>
      <c r="D3" s="8"/>
      <c r="E3" s="8"/>
      <c r="F3" s="8"/>
      <c r="G3" s="8"/>
    </row>
    <row r="4" spans="1:8">
      <c r="A4" s="13" t="s">
        <v>142</v>
      </c>
      <c r="B4" s="14">
        <f>D1_IncomeStatment!B9</f>
        <v>187267</v>
      </c>
      <c r="C4" s="14">
        <f>D1_IncomeStatment!C9</f>
        <v>184992</v>
      </c>
      <c r="D4" s="14">
        <f>D1_IncomeStatment!D9</f>
        <v>176191</v>
      </c>
      <c r="E4" s="14">
        <f>D1_IncomeStatment!E9</f>
        <v>158057</v>
      </c>
      <c r="F4" s="14">
        <f>D1_IncomeStatment!F9</f>
        <v>136341</v>
      </c>
      <c r="G4" s="14">
        <f>D1_IncomeStatment!G9</f>
        <v>127144</v>
      </c>
    </row>
    <row r="5" spans="1:8" ht="15.95" customHeight="1">
      <c r="A5" s="4" t="s">
        <v>143</v>
      </c>
      <c r="B5" s="39">
        <f>D3_ISHorizontalAnalysis!B3</f>
        <v>1.229782909531223E-2</v>
      </c>
      <c r="C5" s="39">
        <f>D3_ISHorizontalAnalysis!C3</f>
        <v>4.9951473117242087E-2</v>
      </c>
      <c r="D5" s="39">
        <f>D3_ISHorizontalAnalysis!D3</f>
        <v>0.11473076168723942</v>
      </c>
      <c r="E5" s="39">
        <f>D3_ISHorizontalAnalysis!E3</f>
        <v>0.15927710666637329</v>
      </c>
      <c r="F5" s="39">
        <f>D3_ISHorizontalAnalysis!F3</f>
        <v>7.2335304851192356E-2</v>
      </c>
      <c r="G5" s="39" t="str">
        <f>D3_ISHorizontalAnalysis!G3</f>
        <v>-</v>
      </c>
    </row>
    <row r="6" spans="1:8">
      <c r="A6" s="4"/>
    </row>
    <row r="7" spans="1:8" ht="15.95" customHeight="1">
      <c r="A7" s="15" t="s">
        <v>144</v>
      </c>
      <c r="B7" s="13">
        <f>D1_IncomeStatment!B22+D1_IncomeStatment!B17+D1_IncomeStatment!B12</f>
        <v>-21423</v>
      </c>
      <c r="C7" s="13">
        <f>D1_IncomeStatment!C22+D1_IncomeStatment!C17+D1_IncomeStatment!C12</f>
        <v>-2879</v>
      </c>
      <c r="D7" s="13">
        <f>D1_IncomeStatment!D22+D1_IncomeStatment!D17+D1_IncomeStatment!D12</f>
        <v>-4933</v>
      </c>
      <c r="E7" s="13">
        <f>D1_IncomeStatment!E22+D1_IncomeStatment!E17+D1_IncomeStatment!E12</f>
        <v>-8631</v>
      </c>
      <c r="F7" s="13">
        <f>D1_IncomeStatment!F22+D1_IncomeStatment!F17+D1_IncomeStatment!F12</f>
        <v>13324</v>
      </c>
      <c r="G7" s="13">
        <f>D1_IncomeStatment!G22+D1_IncomeStatment!G17+D1_IncomeStatment!G12</f>
        <v>-7787</v>
      </c>
    </row>
    <row r="8" spans="1:8" ht="15.95" customHeight="1">
      <c r="A8" s="4" t="s">
        <v>145</v>
      </c>
      <c r="B8" s="39">
        <f>(B7-C7)/ABS(C7)</f>
        <v>-6.4411253907606811</v>
      </c>
      <c r="C8" s="39">
        <f t="shared" ref="C8:F8" si="0">(C7-D7)/ABS(D7)</f>
        <v>0.41637948510034462</v>
      </c>
      <c r="D8" s="39">
        <f t="shared" si="0"/>
        <v>0.42845556714169852</v>
      </c>
      <c r="E8" s="39">
        <f t="shared" si="0"/>
        <v>-1.6477784449114381</v>
      </c>
      <c r="F8" s="39">
        <f t="shared" si="0"/>
        <v>2.7110568896879412</v>
      </c>
      <c r="G8" s="64" t="s">
        <v>76</v>
      </c>
    </row>
    <row r="9" spans="1:8">
      <c r="A9" s="4"/>
    </row>
    <row r="10" spans="1:8" ht="15.95" customHeight="1">
      <c r="A10" s="15" t="s">
        <v>146</v>
      </c>
      <c r="B10" s="13">
        <f>D1_IncomeStatment!B28</f>
        <v>-9169</v>
      </c>
      <c r="C10" s="13">
        <f>D1_IncomeStatment!C28</f>
        <v>5219</v>
      </c>
      <c r="D10" s="13">
        <f>D1_IncomeStatment!D28</f>
        <v>5458</v>
      </c>
      <c r="E10" s="13">
        <f>D1_IncomeStatment!E28</f>
        <v>6276</v>
      </c>
      <c r="F10" s="13">
        <f>D1_IncomeStatment!F28</f>
        <v>4523</v>
      </c>
      <c r="G10" s="13">
        <f>D1_IncomeStatment!G28</f>
        <v>-4408</v>
      </c>
    </row>
    <row r="11" spans="1:8" ht="15.95" customHeight="1">
      <c r="A11" s="4" t="s">
        <v>147</v>
      </c>
      <c r="B11" s="39">
        <f>(B10-C10)/ABS(C10)</f>
        <v>-2.7568499712588617</v>
      </c>
      <c r="C11" s="39">
        <f t="shared" ref="C11:F11" si="1">(C10-D10)/ABS(D10)</f>
        <v>-4.3788933675338954E-2</v>
      </c>
      <c r="D11" s="39">
        <f t="shared" si="1"/>
        <v>-0.13033779477374124</v>
      </c>
      <c r="E11" s="39">
        <f t="shared" si="1"/>
        <v>0.38757461861596287</v>
      </c>
      <c r="F11" s="39">
        <f t="shared" si="1"/>
        <v>2.0260889292196009</v>
      </c>
      <c r="G11" s="64" t="s">
        <v>76</v>
      </c>
    </row>
    <row r="12" spans="1:8">
      <c r="A12" s="4"/>
    </row>
    <row r="13" spans="1:8" ht="15.95" customHeight="1">
      <c r="A13" s="15" t="s">
        <v>148</v>
      </c>
      <c r="B13" s="13">
        <f>D1_IncomeStatment!B26</f>
        <v>-8182</v>
      </c>
      <c r="C13" s="13">
        <f>D1_IncomeStatment!C26</f>
        <v>5879</v>
      </c>
      <c r="D13" s="13">
        <f>D1_IncomeStatment!D26</f>
        <v>4347</v>
      </c>
      <c r="E13" s="13">
        <f>D1_IncomeStatment!E26</f>
        <v>-1981</v>
      </c>
      <c r="F13" s="13">
        <f>D1_IncomeStatment!F26</f>
        <v>17937</v>
      </c>
      <c r="G13" s="13">
        <f>D1_IncomeStatment!G26</f>
        <v>-1279</v>
      </c>
    </row>
    <row r="14" spans="1:8" ht="15.95" customHeight="1">
      <c r="A14" s="16" t="s">
        <v>149</v>
      </c>
      <c r="B14" s="59">
        <f>D3_ISHorizontalAnalysis!B5</f>
        <v>-2.3917332879741453</v>
      </c>
      <c r="C14" s="59">
        <f>D3_ISHorizontalAnalysis!C5</f>
        <v>0.35242696112261329</v>
      </c>
      <c r="D14" s="59">
        <f>D3_ISHorizontalAnalysis!D5</f>
        <v>3.1943462897526502</v>
      </c>
      <c r="E14" s="59">
        <f>D3_ISHorizontalAnalysis!E5</f>
        <v>-1.1104421029157607</v>
      </c>
      <c r="F14" s="59">
        <f>D3_ISHorizontalAnalysis!F5</f>
        <v>15.024237685691947</v>
      </c>
      <c r="G14" s="65" t="str">
        <f>D3_ISHorizontalAnalysis!G5</f>
        <v>-</v>
      </c>
      <c r="H14" s="59"/>
    </row>
    <row r="15" spans="1:8">
      <c r="A15" t="s">
        <v>88</v>
      </c>
    </row>
    <row r="16" spans="1:8">
      <c r="A16" s="4"/>
    </row>
    <row r="17" spans="1:7">
      <c r="A17" s="4"/>
      <c r="B17" s="8">
        <v>2025</v>
      </c>
      <c r="C17" s="8">
        <v>2024</v>
      </c>
      <c r="D17" s="8">
        <v>2023</v>
      </c>
      <c r="E17" s="8">
        <v>2022</v>
      </c>
      <c r="F17" s="8">
        <v>2021</v>
      </c>
      <c r="G17" s="8">
        <v>2020</v>
      </c>
    </row>
    <row r="18" spans="1:7" ht="15.95" customHeight="1">
      <c r="A18" s="17" t="s">
        <v>150</v>
      </c>
      <c r="B18" s="9"/>
      <c r="C18" s="9"/>
      <c r="D18" s="9"/>
      <c r="E18" s="9"/>
      <c r="F18" s="9"/>
      <c r="G18" s="9"/>
    </row>
    <row r="19" spans="1:7" ht="15.95" customHeight="1">
      <c r="A19" s="4" t="s">
        <v>151</v>
      </c>
      <c r="B19" s="39">
        <f>(D1_IncomeStatment!B9+D1_IncomeStatment!B11)/D1_IncomeStatment!B9</f>
        <v>0.1960676467290019</v>
      </c>
      <c r="C19" s="39">
        <f>(D1_IncomeStatment!C9+D1_IncomeStatment!C11)/D1_IncomeStatment!C9</f>
        <v>0.143562964884968</v>
      </c>
      <c r="D19" s="39">
        <f>(D1_IncomeStatment!D9+D1_IncomeStatment!D11)/D1_IncomeStatment!D9</f>
        <v>0.14552956734452951</v>
      </c>
      <c r="E19" s="39">
        <f>(D1_IncomeStatment!E9+D1_IncomeStatment!E11)/D1_IncomeStatment!E9</f>
        <v>0.1496928323326395</v>
      </c>
      <c r="F19" s="39">
        <f>(D1_IncomeStatment!F9+D1_IncomeStatment!F11)/D1_IncomeStatment!F9</f>
        <v>0.15908640834378507</v>
      </c>
      <c r="G19" s="39">
        <f>(D1_IncomeStatment!G9+D1_IncomeStatment!G11)/D1_IncomeStatment!G9</f>
        <v>0.11319448813943246</v>
      </c>
    </row>
    <row r="20" spans="1:7" ht="15.95" customHeight="1">
      <c r="A20" s="15" t="s">
        <v>152</v>
      </c>
      <c r="B20" s="55">
        <f>D1_IncomeStatment!B28/D1_IncomeStatment!B9</f>
        <v>-4.8962176998616949E-2</v>
      </c>
      <c r="C20" s="55">
        <f>D1_IncomeStatment!C28/D1_IncomeStatment!C9</f>
        <v>2.8212030790520672E-2</v>
      </c>
      <c r="D20" s="55">
        <f>D1_IncomeStatment!D28/D1_IncomeStatment!D9</f>
        <v>3.0977745741836985E-2</v>
      </c>
      <c r="E20" s="55">
        <f>D1_IncomeStatment!E28/D1_IncomeStatment!E9</f>
        <v>3.9707194240052639E-2</v>
      </c>
      <c r="F20" s="55">
        <f>D1_IncomeStatment!F28/D1_IncomeStatment!F9</f>
        <v>3.317417357948086E-2</v>
      </c>
      <c r="G20" s="55">
        <f>D1_IncomeStatment!G28/D1_IncomeStatment!G9</f>
        <v>-3.4669351286730009E-2</v>
      </c>
    </row>
    <row r="21" spans="1:7" ht="15.95" customHeight="1">
      <c r="A21" s="4" t="s">
        <v>153</v>
      </c>
      <c r="B21" s="39">
        <f>D1_IncomeStatment!B22/D1_IncomeStatment!B9</f>
        <v>-6.3171834866794466E-2</v>
      </c>
      <c r="C21" s="39">
        <f>D1_IncomeStatment!C22/D1_IncomeStatment!C9</f>
        <v>3.9098988064348729E-2</v>
      </c>
      <c r="D21" s="39">
        <f>D1_IncomeStatment!D22/D1_IncomeStatment!D9</f>
        <v>2.2515338467912663E-2</v>
      </c>
      <c r="E21" s="39">
        <f>D1_IncomeStatment!E22/D1_IncomeStatment!E9</f>
        <v>-1.9081723681962835E-2</v>
      </c>
      <c r="F21" s="39">
        <f>D1_IncomeStatment!F22/D1_IncomeStatment!F9</f>
        <v>0.13040831444686485</v>
      </c>
      <c r="G21" s="39">
        <f>D1_IncomeStatment!G22/D1_IncomeStatment!G9</f>
        <v>-8.7774491914679419E-3</v>
      </c>
    </row>
    <row r="22" spans="1:7" ht="15.95" customHeight="1">
      <c r="A22" s="18" t="s">
        <v>154</v>
      </c>
      <c r="B22" s="60">
        <f>D1_IncomeStatment!B26/D1_IncomeStatment!B9</f>
        <v>-4.3691627462393266E-2</v>
      </c>
      <c r="C22" s="60">
        <f>D1_IncomeStatment!C26/D1_IncomeStatment!C9</f>
        <v>3.1779752637951908E-2</v>
      </c>
      <c r="D22" s="60">
        <f>D1_IncomeStatment!D26/D1_IncomeStatment!D9</f>
        <v>2.4672088812708937E-2</v>
      </c>
      <c r="E22" s="60">
        <f>D1_IncomeStatment!E26/D1_IncomeStatment!E9</f>
        <v>-1.2533453121342301E-2</v>
      </c>
      <c r="F22" s="60">
        <f>D1_IncomeStatment!F26/D1_IncomeStatment!F9</f>
        <v>0.13155983893326292</v>
      </c>
      <c r="G22" s="60">
        <f>D1_IncomeStatment!G26/D1_IncomeStatment!G9</f>
        <v>-1.0059460139684138E-2</v>
      </c>
    </row>
    <row r="23" spans="1:7">
      <c r="A23" s="4"/>
    </row>
    <row r="24" spans="1:7">
      <c r="A24" s="4"/>
    </row>
    <row r="25" spans="1:7">
      <c r="A25" s="4"/>
      <c r="B25" s="8">
        <v>2025</v>
      </c>
      <c r="C25" s="8">
        <v>2024</v>
      </c>
      <c r="D25" s="8">
        <v>2023</v>
      </c>
      <c r="E25" s="8">
        <v>2022</v>
      </c>
      <c r="F25" s="8">
        <v>2021</v>
      </c>
      <c r="G25" s="8">
        <v>2020</v>
      </c>
    </row>
    <row r="26" spans="1:7" ht="15.95" customHeight="1">
      <c r="A26" s="17" t="s">
        <v>155</v>
      </c>
      <c r="B26" s="9"/>
      <c r="C26" s="9"/>
      <c r="D26" s="9"/>
      <c r="E26" s="9"/>
      <c r="F26" s="9"/>
      <c r="G26" s="9"/>
    </row>
    <row r="27" spans="1:7" ht="15.95" customHeight="1">
      <c r="A27" s="20" t="s">
        <v>156</v>
      </c>
      <c r="B27" s="13">
        <f>D1_IncomeStatment!B29</f>
        <v>-2.06</v>
      </c>
      <c r="C27" s="13">
        <f>D1_IncomeStatment!C29</f>
        <v>1.48</v>
      </c>
      <c r="D27" s="13">
        <f>D1_IncomeStatment!D29</f>
        <v>1.0900000000000001</v>
      </c>
      <c r="E27" s="13">
        <f>D1_IncomeStatment!E29</f>
        <v>-0.49</v>
      </c>
      <c r="F27" s="13">
        <f>D1_IncomeStatment!F29</f>
        <v>4.49</v>
      </c>
      <c r="G27" s="13">
        <f>D1_IncomeStatment!G29</f>
        <v>-0.32</v>
      </c>
    </row>
    <row r="28" spans="1:7" ht="15.95" customHeight="1">
      <c r="A28" s="17" t="s">
        <v>157</v>
      </c>
      <c r="B28" s="9">
        <f>D1_IncomeStatment!B30</f>
        <v>-2.06</v>
      </c>
      <c r="C28" s="9">
        <f>D1_IncomeStatment!C30</f>
        <v>1.46</v>
      </c>
      <c r="D28" s="9">
        <f>D1_IncomeStatment!D30</f>
        <v>1.08</v>
      </c>
      <c r="E28" s="9">
        <f>D1_IncomeStatment!E30</f>
        <v>-0.49</v>
      </c>
      <c r="F28" s="9">
        <f>D1_IncomeStatment!F30</f>
        <v>4.45</v>
      </c>
      <c r="G28" s="9">
        <f>D1_IncomeStatment!G30</f>
        <v>-0.32</v>
      </c>
    </row>
    <row r="29" spans="1:7">
      <c r="A29" s="7"/>
    </row>
    <row r="30" spans="1:7">
      <c r="A30" s="7"/>
    </row>
    <row r="31" spans="1:7">
      <c r="A31" s="7"/>
      <c r="B31" s="8">
        <v>2025</v>
      </c>
      <c r="C31" s="8">
        <v>2024</v>
      </c>
      <c r="D31" s="8">
        <v>2023</v>
      </c>
      <c r="E31" s="8">
        <v>2022</v>
      </c>
      <c r="F31" s="8">
        <v>2021</v>
      </c>
      <c r="G31" s="8">
        <v>2020</v>
      </c>
    </row>
    <row r="32" spans="1:7" ht="15.95" customHeight="1">
      <c r="A32" s="17" t="s">
        <v>158</v>
      </c>
      <c r="B32" s="9"/>
      <c r="C32" s="9"/>
      <c r="D32" s="9"/>
      <c r="E32" s="9"/>
      <c r="F32" s="9"/>
      <c r="G32" s="9"/>
    </row>
    <row r="33" spans="1:7" ht="15.95" customHeight="1">
      <c r="A33" s="15" t="s">
        <v>159</v>
      </c>
      <c r="B33" s="13">
        <f>D1_IncomeStatment!B26</f>
        <v>-8182</v>
      </c>
      <c r="C33" s="13">
        <f>D1_IncomeStatment!C26</f>
        <v>5879</v>
      </c>
      <c r="D33" s="13">
        <f>D1_IncomeStatment!D26</f>
        <v>4347</v>
      </c>
      <c r="E33" s="13">
        <f>D1_IncomeStatment!E26</f>
        <v>-1981</v>
      </c>
      <c r="F33" s="13">
        <f>D1_IncomeStatment!F26</f>
        <v>17937</v>
      </c>
      <c r="G33" s="13">
        <f>D1_IncomeStatment!G26</f>
        <v>-1279</v>
      </c>
    </row>
    <row r="34" spans="1:7" ht="32.1" customHeight="1">
      <c r="A34" s="16" t="s">
        <v>160</v>
      </c>
      <c r="B34" s="9">
        <f>D1_IncomeStatment!B26</f>
        <v>-8182</v>
      </c>
      <c r="C34" s="9">
        <f>D1_IncomeStatment!C26</f>
        <v>5879</v>
      </c>
      <c r="D34" s="9">
        <f>D1_IncomeStatment!D26</f>
        <v>4347</v>
      </c>
      <c r="E34" s="9">
        <f>D1_IncomeStatment!E26</f>
        <v>-1981</v>
      </c>
      <c r="F34" s="9">
        <f>D1_IncomeStatment!F26</f>
        <v>17937</v>
      </c>
      <c r="G34" s="9">
        <f>D1_IncomeStatment!G26</f>
        <v>-1279</v>
      </c>
    </row>
    <row r="35" spans="1:7">
      <c r="A35" s="4"/>
    </row>
    <row r="36" spans="1:7">
      <c r="A36" s="4"/>
    </row>
    <row r="37" spans="1:7">
      <c r="A37" s="4"/>
    </row>
    <row r="38" spans="1:7">
      <c r="A38" s="4"/>
    </row>
    <row r="39" spans="1:7">
      <c r="A39" s="4"/>
    </row>
    <row r="40" spans="1:7">
      <c r="A40" s="4"/>
    </row>
    <row r="41" spans="1:7">
      <c r="A41" s="4"/>
    </row>
  </sheetData>
  <pageMargins left="0.7" right="0.7" top="0.75" bottom="0.75" header="0.3" footer="0.3"/>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5"/>
  <sheetViews>
    <sheetView workbookViewId="0">
      <selection activeCell="B4" sqref="B4"/>
    </sheetView>
  </sheetViews>
  <sheetFormatPr defaultColWidth="8.85546875" defaultRowHeight="15"/>
  <cols>
    <col min="1" max="1" width="20.140625" customWidth="1"/>
    <col min="2" max="8" width="15.140625" customWidth="1"/>
  </cols>
  <sheetData>
    <row r="1" spans="1:8">
      <c r="A1" s="1" t="s">
        <v>15</v>
      </c>
      <c r="B1" s="1">
        <v>2025</v>
      </c>
      <c r="C1" s="1">
        <v>2024</v>
      </c>
      <c r="D1" s="1">
        <v>2023</v>
      </c>
      <c r="E1" s="1">
        <v>2022</v>
      </c>
      <c r="F1" s="1">
        <v>2021</v>
      </c>
      <c r="G1" s="1">
        <v>2020</v>
      </c>
      <c r="H1" s="1"/>
    </row>
    <row r="2" spans="1:8">
      <c r="B2" s="9"/>
      <c r="C2" s="9"/>
      <c r="D2" s="9"/>
      <c r="E2" s="9"/>
      <c r="F2" s="9"/>
      <c r="G2" s="9"/>
    </row>
    <row r="3" spans="1:8">
      <c r="A3" t="s">
        <v>86</v>
      </c>
      <c r="B3" s="39">
        <f>(D1_IncomeStatment!B9-D1_IncomeStatment!C9)/ABS(D1_IncomeStatment!C9)</f>
        <v>1.229782909531223E-2</v>
      </c>
      <c r="C3" s="39">
        <f>(D1_IncomeStatment!C9-D1_IncomeStatment!D9)/ABS(D1_IncomeStatment!D9)</f>
        <v>4.9951473117242087E-2</v>
      </c>
      <c r="D3" s="39">
        <f>(D1_IncomeStatment!D9-D1_IncomeStatment!E9)/ABS(D1_IncomeStatment!E9)</f>
        <v>0.11473076168723942</v>
      </c>
      <c r="E3" s="39">
        <f>(D1_IncomeStatment!E9-D1_IncomeStatment!F9)/ABS(D1_IncomeStatment!F9)</f>
        <v>0.15927710666637329</v>
      </c>
      <c r="F3" s="39">
        <f>(D1_IncomeStatment!F9-D1_IncomeStatment!G9)/ABS(D1_IncomeStatment!G9)</f>
        <v>7.2335304851192356E-2</v>
      </c>
      <c r="G3" s="64" t="s">
        <v>76</v>
      </c>
    </row>
    <row r="4" spans="1:8">
      <c r="A4" t="s">
        <v>161</v>
      </c>
      <c r="B4" s="39">
        <f>(D1_IncomeStatment!B22-D1_IncomeStatment!C22)/ABS(D1_IncomeStatment!C22)</f>
        <v>-2.6355592423613992</v>
      </c>
      <c r="C4" s="39">
        <f>(D1_IncomeStatment!C22-D1_IncomeStatment!D22)/ABS(D1_IncomeStatment!D22)</f>
        <v>0.82329216032266195</v>
      </c>
      <c r="D4" s="39">
        <f>(D1_IncomeStatment!D22-D1_IncomeStatment!E22)/ABS(D1_IncomeStatment!E22)</f>
        <v>2.3153183023872681</v>
      </c>
      <c r="E4" s="39">
        <f>(D1_IncomeStatment!E22-D1_IncomeStatment!F22)/ABS(D1_IncomeStatment!F22)</f>
        <v>-1.1696287964004499</v>
      </c>
      <c r="F4" s="39">
        <f>(D1_IncomeStatment!F22-D1_IncomeStatment!G22)/ABS(D1_IncomeStatment!G22)</f>
        <v>16.931899641577061</v>
      </c>
      <c r="G4" s="64" t="s">
        <v>76</v>
      </c>
    </row>
    <row r="5" spans="1:8">
      <c r="A5" t="s">
        <v>141</v>
      </c>
      <c r="B5" s="39">
        <f>(D1_IncomeStatment!B26-D1_IncomeStatment!C26)/ABS(D1_IncomeStatment!C26)</f>
        <v>-2.3917332879741453</v>
      </c>
      <c r="C5" s="39">
        <f>(D1_IncomeStatment!C26-D1_IncomeStatment!D26)/ABS(D1_IncomeStatment!D26)</f>
        <v>0.35242696112261329</v>
      </c>
      <c r="D5" s="39">
        <f>(D1_IncomeStatment!D26-D1_IncomeStatment!E26)/ABS(D1_IncomeStatment!E26)</f>
        <v>3.1943462897526502</v>
      </c>
      <c r="E5" s="39">
        <f>(D1_IncomeStatment!E26-D1_IncomeStatment!F26)/ABS(D1_IncomeStatment!F26)</f>
        <v>-1.1104421029157607</v>
      </c>
      <c r="F5" s="39">
        <f>(D1_IncomeStatment!F26-D1_IncomeStatment!G26)/ABS(D1_IncomeStatment!G26)</f>
        <v>15.024237685691947</v>
      </c>
      <c r="G5" s="64" t="s">
        <v>76</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90099"/>
  </sheetPr>
  <dimension ref="A1:M11"/>
  <sheetViews>
    <sheetView workbookViewId="0">
      <selection activeCell="I11" sqref="I11"/>
    </sheetView>
  </sheetViews>
  <sheetFormatPr defaultColWidth="8.85546875" defaultRowHeight="15"/>
  <cols>
    <col min="1" max="1" width="31.7109375" customWidth="1"/>
    <col min="2" max="2" width="8.42578125" bestFit="1" customWidth="1"/>
    <col min="3" max="7" width="9.140625" bestFit="1" customWidth="1"/>
    <col min="9" max="9" width="6" bestFit="1" customWidth="1"/>
    <col min="10" max="10" width="12.42578125" bestFit="1" customWidth="1"/>
    <col min="11" max="11" width="5.85546875" bestFit="1" customWidth="1"/>
    <col min="12" max="12" width="7.85546875" bestFit="1" customWidth="1"/>
    <col min="13" max="13" width="6.42578125" bestFit="1" customWidth="1"/>
  </cols>
  <sheetData>
    <row r="1" spans="1:13">
      <c r="A1" s="1" t="s">
        <v>15</v>
      </c>
      <c r="B1" s="1" t="s">
        <v>16</v>
      </c>
      <c r="C1" s="1" t="s">
        <v>17</v>
      </c>
      <c r="D1" s="1" t="s">
        <v>18</v>
      </c>
      <c r="E1" s="1" t="s">
        <v>19</v>
      </c>
      <c r="F1" s="1" t="s">
        <v>20</v>
      </c>
      <c r="G1" s="1" t="s">
        <v>21</v>
      </c>
      <c r="I1" s="11" t="s">
        <v>22</v>
      </c>
      <c r="J1" s="11" t="s">
        <v>23</v>
      </c>
      <c r="K1" s="11" t="s">
        <v>24</v>
      </c>
      <c r="L1" s="11" t="s">
        <v>25</v>
      </c>
      <c r="M1" s="11" t="s">
        <v>26</v>
      </c>
    </row>
    <row r="2" spans="1:13">
      <c r="B2" s="9">
        <v>2025</v>
      </c>
      <c r="C2" s="9">
        <v>2024</v>
      </c>
      <c r="D2" s="9">
        <v>2023</v>
      </c>
      <c r="E2" s="9">
        <v>2022</v>
      </c>
      <c r="F2" s="9">
        <v>2021</v>
      </c>
      <c r="G2" s="9">
        <v>2020</v>
      </c>
      <c r="I2" s="12"/>
      <c r="J2" s="12"/>
      <c r="K2" s="12"/>
      <c r="L2" s="12"/>
      <c r="M2" s="12"/>
    </row>
    <row r="3" spans="1:13">
      <c r="A3" t="s">
        <v>162</v>
      </c>
      <c r="B3">
        <v>-8162</v>
      </c>
      <c r="C3">
        <v>5894</v>
      </c>
      <c r="D3">
        <v>4329</v>
      </c>
      <c r="E3">
        <v>-2152</v>
      </c>
      <c r="F3">
        <v>17910</v>
      </c>
      <c r="G3">
        <v>-1276</v>
      </c>
      <c r="I3">
        <f>AVERAGE(B3:G3)</f>
        <v>2757.1666666666665</v>
      </c>
      <c r="J3">
        <f>STDEV(B3:G3)</f>
        <v>8961.1750661766819</v>
      </c>
      <c r="K3">
        <f>MIN(B3:G3)</f>
        <v>-8162</v>
      </c>
      <c r="L3">
        <f>MEDIAN(B3:G3)</f>
        <v>1526.5</v>
      </c>
      <c r="M3">
        <f>MAX(B3:G3)</f>
        <v>17910</v>
      </c>
    </row>
    <row r="4" spans="1:13">
      <c r="A4" t="s">
        <v>163</v>
      </c>
      <c r="B4">
        <v>2020</v>
      </c>
      <c r="C4">
        <v>-1457</v>
      </c>
      <c r="D4">
        <v>974</v>
      </c>
      <c r="E4">
        <v>-933</v>
      </c>
      <c r="F4">
        <v>43</v>
      </c>
      <c r="G4">
        <v>-901</v>
      </c>
      <c r="I4">
        <f t="shared" ref="I4:I11" si="0">AVERAGE(B4:G4)</f>
        <v>-42.333333333333336</v>
      </c>
      <c r="J4">
        <f t="shared" ref="J4:J11" si="1">STDEV(B4:G4)</f>
        <v>1328.5564597211014</v>
      </c>
      <c r="K4">
        <f t="shared" ref="K4:K11" si="2">MIN(B4:G4)</f>
        <v>-1457</v>
      </c>
      <c r="L4">
        <f t="shared" ref="L4:L11" si="3">MEDIAN(B4:G4)</f>
        <v>-429</v>
      </c>
      <c r="M4">
        <f t="shared" ref="M4:M11" si="4">MAX(B4:G4)</f>
        <v>2020</v>
      </c>
    </row>
    <row r="5" spans="1:13">
      <c r="A5" t="s">
        <v>164</v>
      </c>
      <c r="B5">
        <v>131</v>
      </c>
      <c r="C5">
        <v>120</v>
      </c>
      <c r="D5">
        <v>272</v>
      </c>
      <c r="E5">
        <v>-423</v>
      </c>
      <c r="F5">
        <v>-175</v>
      </c>
      <c r="G5">
        <v>85</v>
      </c>
      <c r="I5">
        <f t="shared" si="0"/>
        <v>1.6666666666666667</v>
      </c>
      <c r="J5">
        <f t="shared" si="1"/>
        <v>253.89262822434736</v>
      </c>
      <c r="K5">
        <f t="shared" si="2"/>
        <v>-423</v>
      </c>
      <c r="L5">
        <f t="shared" si="3"/>
        <v>102.5</v>
      </c>
      <c r="M5">
        <f t="shared" si="4"/>
        <v>272</v>
      </c>
    </row>
    <row r="6" spans="1:13">
      <c r="A6" t="s">
        <v>165</v>
      </c>
      <c r="B6">
        <v>-315</v>
      </c>
      <c r="C6">
        <v>608</v>
      </c>
      <c r="D6">
        <v>-460</v>
      </c>
      <c r="E6">
        <v>322</v>
      </c>
      <c r="F6">
        <v>73</v>
      </c>
      <c r="G6">
        <v>222</v>
      </c>
      <c r="I6">
        <f t="shared" si="0"/>
        <v>75</v>
      </c>
      <c r="J6">
        <f t="shared" si="1"/>
        <v>401.25702486062471</v>
      </c>
      <c r="K6">
        <f t="shared" si="2"/>
        <v>-460</v>
      </c>
      <c r="L6">
        <f t="shared" si="3"/>
        <v>147.5</v>
      </c>
      <c r="M6">
        <f t="shared" si="4"/>
        <v>608</v>
      </c>
    </row>
    <row r="7" spans="1:13">
      <c r="A7" t="s">
        <v>166</v>
      </c>
      <c r="B7">
        <v>92</v>
      </c>
      <c r="C7">
        <v>131</v>
      </c>
      <c r="D7">
        <v>-488</v>
      </c>
      <c r="E7">
        <v>30</v>
      </c>
      <c r="F7">
        <v>18</v>
      </c>
      <c r="G7">
        <v>27</v>
      </c>
      <c r="I7">
        <f t="shared" si="0"/>
        <v>-31.666666666666668</v>
      </c>
      <c r="J7">
        <f t="shared" si="1"/>
        <v>227.90582850525493</v>
      </c>
      <c r="K7">
        <f t="shared" si="2"/>
        <v>-488</v>
      </c>
      <c r="L7">
        <f t="shared" si="3"/>
        <v>28.5</v>
      </c>
      <c r="M7">
        <f t="shared" si="4"/>
        <v>131</v>
      </c>
    </row>
    <row r="8" spans="1:13">
      <c r="A8" t="s">
        <v>167</v>
      </c>
      <c r="B8">
        <v>1928</v>
      </c>
      <c r="C8">
        <v>-598</v>
      </c>
      <c r="D8">
        <v>298</v>
      </c>
      <c r="E8">
        <v>-1004</v>
      </c>
      <c r="F8">
        <v>-41</v>
      </c>
      <c r="G8">
        <v>-567</v>
      </c>
      <c r="I8">
        <f t="shared" si="0"/>
        <v>2.6666666666666665</v>
      </c>
      <c r="J8">
        <f t="shared" si="1"/>
        <v>1048.3067617194247</v>
      </c>
      <c r="K8">
        <f t="shared" si="2"/>
        <v>-1004</v>
      </c>
      <c r="L8">
        <f t="shared" si="3"/>
        <v>-304</v>
      </c>
      <c r="M8">
        <f t="shared" si="4"/>
        <v>1928</v>
      </c>
    </row>
    <row r="9" spans="1:13">
      <c r="A9" t="s">
        <v>168</v>
      </c>
      <c r="B9">
        <v>-6234</v>
      </c>
      <c r="C9">
        <v>5296</v>
      </c>
      <c r="D9">
        <v>4627</v>
      </c>
      <c r="E9">
        <v>-3156</v>
      </c>
      <c r="F9">
        <v>17869</v>
      </c>
      <c r="G9">
        <v>-1843</v>
      </c>
      <c r="I9">
        <f t="shared" si="0"/>
        <v>2759.8333333333335</v>
      </c>
      <c r="J9">
        <f t="shared" si="1"/>
        <v>8663.4585107026778</v>
      </c>
      <c r="K9">
        <f t="shared" si="2"/>
        <v>-6234</v>
      </c>
      <c r="L9">
        <f t="shared" si="3"/>
        <v>1392</v>
      </c>
      <c r="M9">
        <f t="shared" si="4"/>
        <v>17869</v>
      </c>
    </row>
    <row r="10" spans="1:13">
      <c r="A10" t="s">
        <v>169</v>
      </c>
      <c r="B10">
        <v>19</v>
      </c>
      <c r="C10">
        <v>14</v>
      </c>
      <c r="D10">
        <v>-17</v>
      </c>
      <c r="E10">
        <v>-175</v>
      </c>
      <c r="F10">
        <v>-23</v>
      </c>
      <c r="G10">
        <v>2</v>
      </c>
      <c r="I10">
        <f t="shared" si="0"/>
        <v>-30</v>
      </c>
      <c r="J10">
        <f t="shared" si="1"/>
        <v>72.943813994059838</v>
      </c>
      <c r="K10">
        <f t="shared" si="2"/>
        <v>-175</v>
      </c>
      <c r="L10">
        <f t="shared" si="3"/>
        <v>-7.5</v>
      </c>
      <c r="M10">
        <f t="shared" si="4"/>
        <v>19</v>
      </c>
    </row>
    <row r="11" spans="1:13">
      <c r="A11" t="s">
        <v>170</v>
      </c>
      <c r="B11">
        <v>-6253</v>
      </c>
      <c r="C11">
        <v>5282</v>
      </c>
      <c r="D11">
        <v>4644</v>
      </c>
      <c r="E11">
        <v>-2981</v>
      </c>
      <c r="F11">
        <v>17892</v>
      </c>
      <c r="G11">
        <v>-1845</v>
      </c>
      <c r="I11">
        <f t="shared" si="0"/>
        <v>2789.8333333333335</v>
      </c>
      <c r="J11">
        <f t="shared" si="1"/>
        <v>8651.9512115283378</v>
      </c>
      <c r="K11">
        <f t="shared" si="2"/>
        <v>-6253</v>
      </c>
      <c r="L11">
        <f t="shared" si="3"/>
        <v>1399.5</v>
      </c>
      <c r="M11">
        <f t="shared" si="4"/>
        <v>17892</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A1:N50"/>
  <sheetViews>
    <sheetView topLeftCell="A36" workbookViewId="0">
      <selection activeCell="A47" sqref="A47"/>
    </sheetView>
  </sheetViews>
  <sheetFormatPr defaultColWidth="8.85546875" defaultRowHeight="15"/>
  <cols>
    <col min="1" max="1" width="81.28515625" bestFit="1" customWidth="1"/>
    <col min="2" max="7" width="18.42578125" customWidth="1"/>
    <col min="10" max="14" width="9.140625" style="12" customWidth="1"/>
  </cols>
  <sheetData>
    <row r="1" spans="1:14">
      <c r="A1" s="1" t="s">
        <v>15</v>
      </c>
      <c r="B1" s="1" t="s">
        <v>16</v>
      </c>
      <c r="C1" s="1" t="s">
        <v>17</v>
      </c>
      <c r="D1" s="1" t="s">
        <v>18</v>
      </c>
      <c r="E1" s="1" t="s">
        <v>19</v>
      </c>
      <c r="F1" s="1" t="s">
        <v>20</v>
      </c>
      <c r="G1" s="1" t="s">
        <v>21</v>
      </c>
      <c r="H1" s="1"/>
      <c r="J1" s="11" t="s">
        <v>22</v>
      </c>
      <c r="K1" s="11" t="s">
        <v>23</v>
      </c>
      <c r="L1" s="11" t="s">
        <v>24</v>
      </c>
      <c r="M1" s="11" t="s">
        <v>25</v>
      </c>
      <c r="N1" s="11" t="s">
        <v>26</v>
      </c>
    </row>
    <row r="2" spans="1:14">
      <c r="B2" s="9">
        <v>2025</v>
      </c>
      <c r="C2" s="9">
        <v>2024</v>
      </c>
      <c r="D2" s="9">
        <v>2023</v>
      </c>
      <c r="E2" s="9">
        <v>2022</v>
      </c>
      <c r="F2" s="9">
        <v>2021</v>
      </c>
      <c r="G2" s="9">
        <v>2020</v>
      </c>
    </row>
    <row r="3" spans="1:14">
      <c r="A3" t="s">
        <v>171</v>
      </c>
    </row>
    <row r="4" spans="1:14">
      <c r="A4" t="s">
        <v>172</v>
      </c>
      <c r="B4">
        <v>-8162</v>
      </c>
      <c r="C4">
        <v>5894</v>
      </c>
      <c r="D4">
        <v>4329</v>
      </c>
      <c r="E4">
        <v>-2152</v>
      </c>
      <c r="F4">
        <v>17910</v>
      </c>
      <c r="G4">
        <v>-1276</v>
      </c>
      <c r="J4">
        <f t="shared" ref="J4:J27" si="0">AVERAGE(B4:G4)</f>
        <v>2757.1666666666665</v>
      </c>
      <c r="K4">
        <f t="shared" ref="K4:K27" si="1">STDEV(B4:G4)</f>
        <v>8961.1750661766819</v>
      </c>
      <c r="L4">
        <f t="shared" ref="L4:L27" si="2">MIN(B4:G4)</f>
        <v>-8162</v>
      </c>
      <c r="M4">
        <f t="shared" ref="M4:M27" si="3">MEDIAN(B4:G4)</f>
        <v>1526.5</v>
      </c>
      <c r="N4">
        <f t="shared" ref="N4:N27" si="4">MAX(B4:G4)</f>
        <v>17910</v>
      </c>
    </row>
    <row r="5" spans="1:14">
      <c r="A5" t="s">
        <v>173</v>
      </c>
      <c r="B5">
        <v>7834</v>
      </c>
      <c r="C5">
        <v>7567</v>
      </c>
      <c r="D5">
        <v>7690</v>
      </c>
      <c r="E5">
        <v>7642</v>
      </c>
      <c r="F5">
        <v>7318</v>
      </c>
      <c r="G5">
        <v>8751</v>
      </c>
      <c r="J5">
        <f>AVERAGE(B5:G5)</f>
        <v>7800.333333333333</v>
      </c>
      <c r="K5">
        <f t="shared" si="1"/>
        <v>495.82927169204794</v>
      </c>
      <c r="L5">
        <f t="shared" si="2"/>
        <v>7318</v>
      </c>
      <c r="M5">
        <f t="shared" si="3"/>
        <v>7666</v>
      </c>
      <c r="N5">
        <f t="shared" si="4"/>
        <v>8751</v>
      </c>
    </row>
    <row r="6" spans="1:14">
      <c r="A6" t="s">
        <v>118</v>
      </c>
      <c r="E6">
        <v>7642</v>
      </c>
      <c r="J6">
        <f t="shared" si="0"/>
        <v>7642</v>
      </c>
      <c r="K6" t="e">
        <f t="shared" si="1"/>
        <v>#DIV/0!</v>
      </c>
      <c r="L6">
        <f t="shared" si="2"/>
        <v>7642</v>
      </c>
      <c r="M6">
        <f t="shared" si="3"/>
        <v>7642</v>
      </c>
      <c r="N6">
        <f t="shared" si="4"/>
        <v>7642</v>
      </c>
    </row>
    <row r="7" spans="1:14">
      <c r="A7" t="s">
        <v>174</v>
      </c>
      <c r="B7">
        <v>-1839</v>
      </c>
      <c r="C7">
        <v>-1700</v>
      </c>
      <c r="D7">
        <v>-1167</v>
      </c>
      <c r="E7">
        <v>-1149</v>
      </c>
      <c r="F7">
        <v>-1358</v>
      </c>
      <c r="G7">
        <v>-1294</v>
      </c>
      <c r="J7">
        <f t="shared" si="0"/>
        <v>-1417.8333333333333</v>
      </c>
      <c r="K7">
        <f t="shared" si="1"/>
        <v>286.74128873719388</v>
      </c>
      <c r="L7">
        <f t="shared" si="2"/>
        <v>-1839</v>
      </c>
      <c r="M7">
        <f t="shared" si="3"/>
        <v>-1326</v>
      </c>
      <c r="N7">
        <f t="shared" si="4"/>
        <v>-1149</v>
      </c>
    </row>
    <row r="8" spans="1:14">
      <c r="A8" t="s">
        <v>175</v>
      </c>
      <c r="G8">
        <v>23</v>
      </c>
      <c r="J8">
        <f t="shared" si="0"/>
        <v>23</v>
      </c>
      <c r="K8" t="e">
        <f t="shared" si="1"/>
        <v>#DIV/0!</v>
      </c>
      <c r="L8">
        <f t="shared" si="2"/>
        <v>23</v>
      </c>
      <c r="M8">
        <f t="shared" si="3"/>
        <v>23</v>
      </c>
      <c r="N8">
        <f t="shared" si="4"/>
        <v>23</v>
      </c>
    </row>
    <row r="9" spans="1:14">
      <c r="A9" t="s">
        <v>176</v>
      </c>
      <c r="F9">
        <v>-368</v>
      </c>
      <c r="G9">
        <v>-3446</v>
      </c>
      <c r="J9">
        <f t="shared" si="0"/>
        <v>-1907</v>
      </c>
      <c r="K9">
        <f t="shared" si="1"/>
        <v>2176.4746724921933</v>
      </c>
      <c r="L9">
        <f t="shared" si="2"/>
        <v>-3446</v>
      </c>
      <c r="M9">
        <f t="shared" si="3"/>
        <v>-1907</v>
      </c>
      <c r="N9">
        <f t="shared" si="4"/>
        <v>-368</v>
      </c>
    </row>
    <row r="10" spans="1:14">
      <c r="A10" t="s">
        <v>177</v>
      </c>
      <c r="B10">
        <v>9435</v>
      </c>
      <c r="J10">
        <f t="shared" si="0"/>
        <v>9435</v>
      </c>
      <c r="K10" t="e">
        <f t="shared" si="1"/>
        <v>#DIV/0!</v>
      </c>
      <c r="L10">
        <f t="shared" si="2"/>
        <v>9435</v>
      </c>
      <c r="M10">
        <f t="shared" si="3"/>
        <v>9435</v>
      </c>
      <c r="N10">
        <f t="shared" si="4"/>
        <v>9435</v>
      </c>
    </row>
    <row r="11" spans="1:14">
      <c r="A11" t="s">
        <v>178</v>
      </c>
      <c r="G11">
        <v>1159</v>
      </c>
      <c r="J11">
        <f t="shared" si="0"/>
        <v>1159</v>
      </c>
      <c r="K11" t="e">
        <f t="shared" si="1"/>
        <v>#DIV/0!</v>
      </c>
      <c r="L11">
        <f t="shared" si="2"/>
        <v>1159</v>
      </c>
      <c r="M11">
        <f t="shared" si="3"/>
        <v>1159</v>
      </c>
      <c r="N11">
        <f t="shared" si="4"/>
        <v>1159</v>
      </c>
    </row>
    <row r="12" spans="1:14">
      <c r="A12" t="s">
        <v>179</v>
      </c>
      <c r="F12">
        <v>116</v>
      </c>
      <c r="G12">
        <v>130</v>
      </c>
      <c r="J12">
        <f t="shared" si="0"/>
        <v>123</v>
      </c>
      <c r="K12">
        <f t="shared" si="1"/>
        <v>9.8994949366116654</v>
      </c>
      <c r="L12">
        <f t="shared" si="2"/>
        <v>116</v>
      </c>
      <c r="M12">
        <f t="shared" si="3"/>
        <v>123</v>
      </c>
      <c r="N12">
        <f t="shared" si="4"/>
        <v>130</v>
      </c>
    </row>
    <row r="13" spans="1:14">
      <c r="A13" t="s">
        <v>180</v>
      </c>
      <c r="B13">
        <v>3572</v>
      </c>
      <c r="C13">
        <v>-287</v>
      </c>
      <c r="D13">
        <v>-33</v>
      </c>
      <c r="E13">
        <v>3324</v>
      </c>
      <c r="J13">
        <f t="shared" si="0"/>
        <v>1644</v>
      </c>
      <c r="K13">
        <f t="shared" si="1"/>
        <v>2088.1150989987759</v>
      </c>
      <c r="L13">
        <f t="shared" si="2"/>
        <v>-287</v>
      </c>
      <c r="M13">
        <f t="shared" si="3"/>
        <v>1645.5</v>
      </c>
      <c r="N13">
        <f t="shared" si="4"/>
        <v>3572</v>
      </c>
    </row>
    <row r="14" spans="1:14">
      <c r="A14" t="s">
        <v>181</v>
      </c>
      <c r="B14">
        <v>510</v>
      </c>
      <c r="C14">
        <v>511</v>
      </c>
      <c r="D14">
        <v>460</v>
      </c>
      <c r="E14">
        <v>336</v>
      </c>
      <c r="F14">
        <v>305</v>
      </c>
      <c r="G14">
        <v>199</v>
      </c>
      <c r="J14">
        <f t="shared" si="0"/>
        <v>386.83333333333331</v>
      </c>
      <c r="K14">
        <f t="shared" si="1"/>
        <v>126.88800836433155</v>
      </c>
      <c r="L14">
        <f t="shared" si="2"/>
        <v>199</v>
      </c>
      <c r="M14">
        <f t="shared" si="3"/>
        <v>398</v>
      </c>
      <c r="N14">
        <f t="shared" si="4"/>
        <v>511</v>
      </c>
    </row>
    <row r="15" spans="1:14">
      <c r="A15" t="s">
        <v>182</v>
      </c>
      <c r="B15">
        <v>616</v>
      </c>
      <c r="C15">
        <v>575</v>
      </c>
      <c r="D15">
        <v>438</v>
      </c>
      <c r="E15">
        <v>46</v>
      </c>
      <c r="J15">
        <f t="shared" si="0"/>
        <v>418.75</v>
      </c>
      <c r="K15">
        <f t="shared" si="1"/>
        <v>259.89404892506997</v>
      </c>
      <c r="L15">
        <f t="shared" si="2"/>
        <v>46</v>
      </c>
      <c r="M15">
        <f t="shared" si="3"/>
        <v>506.5</v>
      </c>
      <c r="N15">
        <f t="shared" si="4"/>
        <v>616</v>
      </c>
    </row>
    <row r="16" spans="1:14">
      <c r="A16" t="s">
        <v>183</v>
      </c>
      <c r="F16">
        <v>-298</v>
      </c>
      <c r="G16">
        <v>929</v>
      </c>
      <c r="J16">
        <f t="shared" si="0"/>
        <v>315.5</v>
      </c>
      <c r="K16">
        <f t="shared" si="1"/>
        <v>867.62002051589377</v>
      </c>
      <c r="L16">
        <f t="shared" si="2"/>
        <v>-298</v>
      </c>
      <c r="M16">
        <f t="shared" si="3"/>
        <v>315.5</v>
      </c>
      <c r="N16">
        <f t="shared" si="4"/>
        <v>929</v>
      </c>
    </row>
    <row r="17" spans="1:14">
      <c r="A17" t="s">
        <v>184</v>
      </c>
      <c r="B17">
        <v>-87</v>
      </c>
      <c r="C17">
        <v>227</v>
      </c>
      <c r="D17">
        <v>-234</v>
      </c>
      <c r="E17">
        <v>-27</v>
      </c>
      <c r="F17">
        <v>532</v>
      </c>
      <c r="G17">
        <v>-420</v>
      </c>
      <c r="J17">
        <f t="shared" si="0"/>
        <v>-1.5</v>
      </c>
      <c r="K17">
        <f t="shared" si="1"/>
        <v>338.81956850217489</v>
      </c>
      <c r="L17">
        <f t="shared" si="2"/>
        <v>-420</v>
      </c>
      <c r="M17">
        <f t="shared" si="3"/>
        <v>-57</v>
      </c>
      <c r="N17">
        <f t="shared" si="4"/>
        <v>532</v>
      </c>
    </row>
    <row r="18" spans="1:14">
      <c r="A18" t="s">
        <v>185</v>
      </c>
      <c r="B18">
        <v>380</v>
      </c>
      <c r="C18">
        <v>439</v>
      </c>
      <c r="D18">
        <v>664</v>
      </c>
      <c r="E18">
        <v>654</v>
      </c>
      <c r="F18">
        <v>-186</v>
      </c>
      <c r="G18">
        <v>72</v>
      </c>
      <c r="J18">
        <f t="shared" si="0"/>
        <v>337.16666666666669</v>
      </c>
      <c r="K18">
        <f t="shared" si="1"/>
        <v>335.68581540879364</v>
      </c>
      <c r="L18">
        <f t="shared" si="2"/>
        <v>-186</v>
      </c>
      <c r="M18">
        <f t="shared" si="3"/>
        <v>409.5</v>
      </c>
      <c r="N18">
        <f t="shared" si="4"/>
        <v>664</v>
      </c>
    </row>
    <row r="19" spans="1:14">
      <c r="A19" t="s">
        <v>186</v>
      </c>
      <c r="F19">
        <v>1702</v>
      </c>
      <c r="G19">
        <v>1</v>
      </c>
      <c r="J19">
        <f t="shared" si="0"/>
        <v>851.5</v>
      </c>
      <c r="K19">
        <f t="shared" si="1"/>
        <v>1202.7886347983174</v>
      </c>
      <c r="L19">
        <f t="shared" si="2"/>
        <v>1</v>
      </c>
      <c r="M19">
        <f t="shared" si="3"/>
        <v>851.5</v>
      </c>
      <c r="N19">
        <f t="shared" si="4"/>
        <v>1702</v>
      </c>
    </row>
    <row r="20" spans="1:14">
      <c r="A20" t="s">
        <v>187</v>
      </c>
      <c r="B20">
        <v>1062</v>
      </c>
      <c r="C20">
        <v>149</v>
      </c>
      <c r="D20">
        <v>3052</v>
      </c>
      <c r="E20">
        <v>-378</v>
      </c>
      <c r="F20">
        <v>-4865</v>
      </c>
      <c r="G20">
        <v>1027</v>
      </c>
      <c r="J20">
        <f t="shared" si="0"/>
        <v>7.833333333333333</v>
      </c>
      <c r="K20">
        <f t="shared" si="1"/>
        <v>2658.2031086180505</v>
      </c>
      <c r="L20">
        <f t="shared" si="2"/>
        <v>-4865</v>
      </c>
      <c r="M20">
        <f t="shared" si="3"/>
        <v>588</v>
      </c>
      <c r="N20">
        <f t="shared" si="4"/>
        <v>3052</v>
      </c>
    </row>
    <row r="21" spans="1:14">
      <c r="A21" t="s">
        <v>188</v>
      </c>
      <c r="B21">
        <v>-346</v>
      </c>
      <c r="C21">
        <v>42</v>
      </c>
      <c r="D21">
        <v>205</v>
      </c>
      <c r="E21">
        <v>7518</v>
      </c>
      <c r="F21">
        <v>-9159</v>
      </c>
      <c r="G21">
        <v>-315</v>
      </c>
      <c r="J21">
        <f t="shared" si="0"/>
        <v>-342.5</v>
      </c>
      <c r="K21">
        <f t="shared" si="1"/>
        <v>5290.8694465087683</v>
      </c>
      <c r="L21">
        <f t="shared" si="2"/>
        <v>-9159</v>
      </c>
      <c r="M21">
        <f t="shared" si="3"/>
        <v>-136.5</v>
      </c>
      <c r="N21">
        <f t="shared" si="4"/>
        <v>7518</v>
      </c>
    </row>
    <row r="22" spans="1:14">
      <c r="A22" t="s">
        <v>189</v>
      </c>
      <c r="B22">
        <v>-2791</v>
      </c>
      <c r="C22">
        <v>-2497</v>
      </c>
      <c r="D22">
        <v>-2620</v>
      </c>
      <c r="E22">
        <v>-1183</v>
      </c>
      <c r="F22">
        <v>-1141</v>
      </c>
      <c r="G22">
        <v>-63</v>
      </c>
      <c r="J22">
        <f t="shared" si="0"/>
        <v>-1715.8333333333333</v>
      </c>
      <c r="K22">
        <f t="shared" si="1"/>
        <v>1089.029369056072</v>
      </c>
      <c r="L22">
        <f t="shared" si="2"/>
        <v>-2791</v>
      </c>
      <c r="M22">
        <f t="shared" si="3"/>
        <v>-1840</v>
      </c>
      <c r="N22">
        <f t="shared" si="4"/>
        <v>-63</v>
      </c>
    </row>
    <row r="23" spans="1:14">
      <c r="A23" t="s">
        <v>190</v>
      </c>
      <c r="B23">
        <v>4992</v>
      </c>
      <c r="C23">
        <v>-4299</v>
      </c>
      <c r="D23">
        <v>-4827</v>
      </c>
      <c r="E23">
        <v>-10560</v>
      </c>
      <c r="F23">
        <v>7656</v>
      </c>
      <c r="G23">
        <v>12104</v>
      </c>
      <c r="J23">
        <f t="shared" si="0"/>
        <v>844.33333333333337</v>
      </c>
      <c r="K23">
        <f t="shared" si="1"/>
        <v>8706.9943532005727</v>
      </c>
      <c r="L23">
        <f t="shared" si="2"/>
        <v>-10560</v>
      </c>
      <c r="M23">
        <f t="shared" si="3"/>
        <v>346.5</v>
      </c>
      <c r="N23">
        <f t="shared" si="4"/>
        <v>12104</v>
      </c>
    </row>
    <row r="24" spans="1:14">
      <c r="A24" t="s">
        <v>191</v>
      </c>
      <c r="B24">
        <v>539</v>
      </c>
      <c r="C24">
        <v>27</v>
      </c>
      <c r="D24">
        <v>-1219</v>
      </c>
      <c r="E24">
        <v>-2576</v>
      </c>
      <c r="F24">
        <v>-1778</v>
      </c>
      <c r="G24">
        <v>148</v>
      </c>
      <c r="J24">
        <f t="shared" si="0"/>
        <v>-809.83333333333337</v>
      </c>
      <c r="K24">
        <f t="shared" si="1"/>
        <v>1237.8364054537526</v>
      </c>
      <c r="L24">
        <f t="shared" si="2"/>
        <v>-2576</v>
      </c>
      <c r="M24">
        <f t="shared" si="3"/>
        <v>-596</v>
      </c>
      <c r="N24">
        <f t="shared" si="4"/>
        <v>539</v>
      </c>
    </row>
    <row r="25" spans="1:14">
      <c r="A25" t="s">
        <v>192</v>
      </c>
      <c r="B25">
        <v>10103</v>
      </c>
      <c r="C25">
        <v>8425</v>
      </c>
      <c r="D25">
        <v>9829</v>
      </c>
      <c r="E25">
        <v>7268</v>
      </c>
      <c r="F25">
        <v>-36</v>
      </c>
      <c r="G25">
        <v>6809</v>
      </c>
      <c r="J25">
        <f t="shared" si="0"/>
        <v>7066.333333333333</v>
      </c>
      <c r="K25">
        <f t="shared" si="1"/>
        <v>3721.5500892325313</v>
      </c>
      <c r="L25">
        <f t="shared" si="2"/>
        <v>-36</v>
      </c>
      <c r="M25">
        <f t="shared" si="3"/>
        <v>7846.5</v>
      </c>
      <c r="N25">
        <f t="shared" si="4"/>
        <v>10103</v>
      </c>
    </row>
    <row r="26" spans="1:14">
      <c r="A26" t="s">
        <v>193</v>
      </c>
      <c r="B26">
        <v>-4536</v>
      </c>
      <c r="C26">
        <v>350</v>
      </c>
      <c r="D26">
        <v>-1649</v>
      </c>
      <c r="E26">
        <v>-1910</v>
      </c>
      <c r="F26">
        <v>-563</v>
      </c>
      <c r="G26">
        <v>-269</v>
      </c>
      <c r="J26">
        <f t="shared" si="0"/>
        <v>-1429.5</v>
      </c>
      <c r="K26">
        <f t="shared" si="1"/>
        <v>1743.192789108537</v>
      </c>
      <c r="L26">
        <f t="shared" si="2"/>
        <v>-4536</v>
      </c>
      <c r="M26">
        <f t="shared" si="3"/>
        <v>-1106</v>
      </c>
      <c r="N26">
        <f t="shared" si="4"/>
        <v>350</v>
      </c>
    </row>
    <row r="27" spans="1:14">
      <c r="A27" s="1" t="s">
        <v>194</v>
      </c>
      <c r="B27">
        <v>21282</v>
      </c>
      <c r="C27">
        <v>15423</v>
      </c>
      <c r="D27">
        <v>14918</v>
      </c>
      <c r="E27">
        <v>6853</v>
      </c>
      <c r="F27">
        <v>15787</v>
      </c>
      <c r="G27">
        <v>24269</v>
      </c>
      <c r="J27">
        <f t="shared" si="0"/>
        <v>16422</v>
      </c>
      <c r="K27">
        <f t="shared" si="1"/>
        <v>6007.0627098441382</v>
      </c>
      <c r="L27">
        <f t="shared" si="2"/>
        <v>6853</v>
      </c>
      <c r="M27">
        <f t="shared" si="3"/>
        <v>15605</v>
      </c>
      <c r="N27">
        <f t="shared" si="4"/>
        <v>24269</v>
      </c>
    </row>
    <row r="28" spans="1:14">
      <c r="A28" t="s">
        <v>195</v>
      </c>
    </row>
    <row r="29" spans="1:14">
      <c r="A29" t="s">
        <v>196</v>
      </c>
      <c r="B29">
        <v>-8815</v>
      </c>
      <c r="C29">
        <v>-8684</v>
      </c>
      <c r="D29">
        <v>-8236</v>
      </c>
      <c r="E29">
        <v>-6866</v>
      </c>
      <c r="F29">
        <v>-6227</v>
      </c>
      <c r="G29">
        <v>-5742</v>
      </c>
      <c r="J29">
        <f t="shared" ref="J29:J39" si="5">AVERAGE(B29:G29)</f>
        <v>-7428.333333333333</v>
      </c>
      <c r="K29">
        <f t="shared" ref="K29:K39" si="6">STDEV(B29:G29)</f>
        <v>1323.2542713578002</v>
      </c>
      <c r="L29">
        <f t="shared" ref="L29:L39" si="7">MIN(B29:G29)</f>
        <v>-8815</v>
      </c>
      <c r="M29">
        <f t="shared" ref="M29:M39" si="8">MEDIAN(B29:G29)</f>
        <v>-7551</v>
      </c>
      <c r="N29">
        <f t="shared" ref="N29:N39" si="9">MAX(B29:G29)</f>
        <v>-5742</v>
      </c>
    </row>
    <row r="30" spans="1:14">
      <c r="A30" t="s">
        <v>197</v>
      </c>
      <c r="E30">
        <v>449</v>
      </c>
      <c r="F30">
        <v>145</v>
      </c>
      <c r="G30">
        <v>1340</v>
      </c>
      <c r="J30">
        <f t="shared" si="5"/>
        <v>644.66666666666663</v>
      </c>
      <c r="K30">
        <f t="shared" si="6"/>
        <v>621.06387218492546</v>
      </c>
      <c r="L30">
        <f t="shared" si="7"/>
        <v>145</v>
      </c>
      <c r="M30">
        <f t="shared" si="8"/>
        <v>449</v>
      </c>
      <c r="N30">
        <f t="shared" si="9"/>
        <v>1340</v>
      </c>
    </row>
    <row r="31" spans="1:14">
      <c r="A31" t="s">
        <v>198</v>
      </c>
      <c r="B31">
        <v>1702</v>
      </c>
      <c r="C31">
        <v>1465</v>
      </c>
      <c r="D31">
        <v>1</v>
      </c>
      <c r="J31">
        <f t="shared" si="5"/>
        <v>1056</v>
      </c>
      <c r="K31">
        <f t="shared" si="6"/>
        <v>921.3093942861974</v>
      </c>
      <c r="L31">
        <f t="shared" si="7"/>
        <v>1</v>
      </c>
      <c r="M31">
        <f t="shared" si="8"/>
        <v>1465</v>
      </c>
      <c r="N31">
        <f t="shared" si="9"/>
        <v>1702</v>
      </c>
    </row>
    <row r="32" spans="1:14">
      <c r="A32" t="s">
        <v>199</v>
      </c>
      <c r="B32">
        <v>-1172</v>
      </c>
      <c r="C32">
        <v>-2323</v>
      </c>
      <c r="D32">
        <v>-2733</v>
      </c>
      <c r="E32">
        <v>-738</v>
      </c>
      <c r="F32">
        <v>-57</v>
      </c>
      <c r="G32">
        <v>-4</v>
      </c>
      <c r="J32">
        <f t="shared" si="5"/>
        <v>-1171.1666666666667</v>
      </c>
      <c r="K32">
        <f t="shared" si="6"/>
        <v>1145.1919344226394</v>
      </c>
      <c r="L32">
        <f t="shared" si="7"/>
        <v>-2733</v>
      </c>
      <c r="M32">
        <f t="shared" si="8"/>
        <v>-955</v>
      </c>
      <c r="N32">
        <f t="shared" si="9"/>
        <v>-4</v>
      </c>
    </row>
    <row r="33" spans="1:14">
      <c r="A33" t="s">
        <v>200</v>
      </c>
      <c r="B33">
        <v>-9457</v>
      </c>
      <c r="C33">
        <v>-12300</v>
      </c>
      <c r="D33">
        <v>-8590</v>
      </c>
      <c r="E33">
        <v>-17458</v>
      </c>
      <c r="F33">
        <v>-27491</v>
      </c>
      <c r="G33">
        <v>-39624</v>
      </c>
      <c r="J33">
        <f t="shared" si="5"/>
        <v>-19153.333333333332</v>
      </c>
      <c r="K33">
        <f t="shared" si="6"/>
        <v>12198.443370638184</v>
      </c>
      <c r="L33">
        <f t="shared" si="7"/>
        <v>-39624</v>
      </c>
      <c r="M33">
        <f t="shared" si="8"/>
        <v>-14879</v>
      </c>
      <c r="N33">
        <f t="shared" si="9"/>
        <v>-8590</v>
      </c>
    </row>
    <row r="34" spans="1:14">
      <c r="A34" t="s">
        <v>201</v>
      </c>
      <c r="B34">
        <v>10063</v>
      </c>
      <c r="C34">
        <v>12346</v>
      </c>
      <c r="D34">
        <v>12700</v>
      </c>
      <c r="E34">
        <v>19117</v>
      </c>
      <c r="F34">
        <v>33229</v>
      </c>
      <c r="G34">
        <v>32395</v>
      </c>
      <c r="J34">
        <f t="shared" si="5"/>
        <v>19975</v>
      </c>
      <c r="K34">
        <f t="shared" si="6"/>
        <v>10392.65211579797</v>
      </c>
      <c r="L34">
        <f t="shared" si="7"/>
        <v>10063</v>
      </c>
      <c r="M34">
        <f t="shared" si="8"/>
        <v>15908.5</v>
      </c>
      <c r="N34">
        <f t="shared" si="9"/>
        <v>33229</v>
      </c>
    </row>
    <row r="35" spans="1:14">
      <c r="A35" t="s">
        <v>202</v>
      </c>
      <c r="B35">
        <v>-55747</v>
      </c>
      <c r="C35">
        <v>-59720</v>
      </c>
      <c r="D35">
        <v>-54505</v>
      </c>
      <c r="E35">
        <v>-45533</v>
      </c>
      <c r="F35">
        <v>-48379</v>
      </c>
      <c r="G35">
        <v>-55901</v>
      </c>
      <c r="J35">
        <f t="shared" si="5"/>
        <v>-53297.5</v>
      </c>
      <c r="K35">
        <f t="shared" si="6"/>
        <v>5290.8208720386665</v>
      </c>
      <c r="L35">
        <f t="shared" si="7"/>
        <v>-59720</v>
      </c>
      <c r="M35">
        <f t="shared" si="8"/>
        <v>-55126</v>
      </c>
      <c r="N35">
        <f t="shared" si="9"/>
        <v>-45533</v>
      </c>
    </row>
    <row r="36" spans="1:14">
      <c r="A36" t="s">
        <v>203</v>
      </c>
      <c r="B36">
        <v>45710</v>
      </c>
      <c r="C36">
        <v>45159</v>
      </c>
      <c r="D36">
        <v>44561</v>
      </c>
      <c r="E36">
        <v>46276</v>
      </c>
      <c r="F36">
        <v>52094</v>
      </c>
      <c r="G36">
        <v>48746</v>
      </c>
      <c r="J36">
        <f t="shared" si="5"/>
        <v>47091</v>
      </c>
      <c r="K36">
        <f t="shared" si="6"/>
        <v>2845.1342323342146</v>
      </c>
      <c r="L36">
        <f t="shared" si="7"/>
        <v>44561</v>
      </c>
      <c r="M36">
        <f t="shared" si="8"/>
        <v>45993</v>
      </c>
      <c r="N36">
        <f t="shared" si="9"/>
        <v>52094</v>
      </c>
    </row>
    <row r="37" spans="1:14">
      <c r="A37" t="s">
        <v>185</v>
      </c>
      <c r="B37">
        <v>110</v>
      </c>
      <c r="C37">
        <v>-45</v>
      </c>
      <c r="D37">
        <v>-688</v>
      </c>
      <c r="E37">
        <v>312</v>
      </c>
      <c r="F37">
        <v>-297</v>
      </c>
      <c r="G37">
        <v>498</v>
      </c>
      <c r="J37">
        <f t="shared" si="5"/>
        <v>-18.333333333333332</v>
      </c>
      <c r="K37">
        <f t="shared" si="6"/>
        <v>428.72119922703456</v>
      </c>
      <c r="L37">
        <f t="shared" si="7"/>
        <v>-688</v>
      </c>
      <c r="M37">
        <f t="shared" si="8"/>
        <v>32.5</v>
      </c>
      <c r="N37">
        <f t="shared" si="9"/>
        <v>498</v>
      </c>
    </row>
    <row r="38" spans="1:14">
      <c r="A38" t="s">
        <v>204</v>
      </c>
      <c r="B38">
        <v>-443</v>
      </c>
      <c r="C38">
        <v>-268</v>
      </c>
      <c r="D38">
        <v>-138</v>
      </c>
      <c r="E38">
        <v>94</v>
      </c>
      <c r="F38">
        <v>-272</v>
      </c>
      <c r="G38">
        <v>-323</v>
      </c>
      <c r="J38">
        <f t="shared" si="5"/>
        <v>-225</v>
      </c>
      <c r="K38">
        <f t="shared" si="6"/>
        <v>184.67051740870821</v>
      </c>
      <c r="L38">
        <f t="shared" si="7"/>
        <v>-443</v>
      </c>
      <c r="M38">
        <f t="shared" si="8"/>
        <v>-270</v>
      </c>
      <c r="N38">
        <f t="shared" si="9"/>
        <v>94</v>
      </c>
    </row>
    <row r="39" spans="1:14">
      <c r="A39" s="1" t="s">
        <v>205</v>
      </c>
      <c r="B39">
        <v>-18049</v>
      </c>
      <c r="C39">
        <v>-24370</v>
      </c>
      <c r="D39">
        <v>-17628</v>
      </c>
      <c r="E39">
        <v>-4347</v>
      </c>
      <c r="F39">
        <v>2745</v>
      </c>
      <c r="G39">
        <v>-18615</v>
      </c>
      <c r="J39">
        <f t="shared" si="5"/>
        <v>-13377.333333333334</v>
      </c>
      <c r="K39">
        <f t="shared" si="6"/>
        <v>10292.143229991831</v>
      </c>
      <c r="L39">
        <f t="shared" si="7"/>
        <v>-24370</v>
      </c>
      <c r="M39">
        <f t="shared" si="8"/>
        <v>-17838.5</v>
      </c>
      <c r="N39">
        <f t="shared" si="9"/>
        <v>2745</v>
      </c>
    </row>
    <row r="40" spans="1:14">
      <c r="A40" t="s">
        <v>206</v>
      </c>
    </row>
    <row r="41" spans="1:14">
      <c r="A41" t="s">
        <v>207</v>
      </c>
      <c r="B41">
        <v>-50303</v>
      </c>
      <c r="C41">
        <v>-45680</v>
      </c>
      <c r="D41">
        <v>-41965</v>
      </c>
      <c r="E41">
        <v>-45655</v>
      </c>
      <c r="F41">
        <v>-54164</v>
      </c>
      <c r="G41">
        <v>-60514</v>
      </c>
      <c r="J41">
        <f t="shared" ref="J41:J47" si="10">AVERAGE(B41:G41)</f>
        <v>-49713.5</v>
      </c>
      <c r="K41">
        <f t="shared" ref="K41:K47" si="11">STDEV(B41:G41)</f>
        <v>6776.2092278795526</v>
      </c>
      <c r="L41">
        <f t="shared" ref="L41:L47" si="12">MIN(B41:G41)</f>
        <v>-60514</v>
      </c>
      <c r="M41">
        <f t="shared" ref="M41:M47" si="13">MEDIAN(B41:G41)</f>
        <v>-47991.5</v>
      </c>
      <c r="N41">
        <f t="shared" ref="N41:N47" si="14">MAX(B41:G41)</f>
        <v>-41965</v>
      </c>
    </row>
    <row r="42" spans="1:14">
      <c r="A42" t="s">
        <v>208</v>
      </c>
      <c r="B42">
        <v>49688</v>
      </c>
      <c r="C42">
        <v>57312</v>
      </c>
      <c r="D42">
        <v>51659</v>
      </c>
      <c r="E42">
        <v>45470</v>
      </c>
      <c r="F42">
        <v>27901</v>
      </c>
      <c r="G42">
        <v>65900</v>
      </c>
      <c r="J42">
        <f t="shared" si="10"/>
        <v>49655</v>
      </c>
      <c r="K42">
        <f t="shared" si="11"/>
        <v>12785.128235571203</v>
      </c>
      <c r="L42">
        <f t="shared" si="12"/>
        <v>27901</v>
      </c>
      <c r="M42">
        <f t="shared" si="13"/>
        <v>50673.5</v>
      </c>
      <c r="N42">
        <f t="shared" si="14"/>
        <v>65900</v>
      </c>
    </row>
    <row r="43" spans="1:14">
      <c r="A43" t="s">
        <v>209</v>
      </c>
      <c r="B43">
        <v>654</v>
      </c>
      <c r="C43">
        <v>-276</v>
      </c>
      <c r="D43">
        <v>-1539</v>
      </c>
      <c r="E43">
        <v>5460</v>
      </c>
      <c r="F43">
        <v>3273</v>
      </c>
      <c r="G43">
        <v>-2291</v>
      </c>
      <c r="J43">
        <f t="shared" si="10"/>
        <v>880.16666666666663</v>
      </c>
      <c r="K43">
        <f t="shared" si="11"/>
        <v>2966.3803813177205</v>
      </c>
      <c r="L43">
        <f t="shared" si="12"/>
        <v>-2291</v>
      </c>
      <c r="M43">
        <f t="shared" si="13"/>
        <v>189</v>
      </c>
      <c r="N43">
        <f t="shared" si="14"/>
        <v>5460</v>
      </c>
    </row>
    <row r="44" spans="1:14">
      <c r="A44" t="s">
        <v>210</v>
      </c>
      <c r="C44">
        <v>-426</v>
      </c>
      <c r="D44">
        <v>-335</v>
      </c>
      <c r="E44">
        <v>-484</v>
      </c>
      <c r="J44">
        <f t="shared" si="10"/>
        <v>-415</v>
      </c>
      <c r="K44">
        <f t="shared" si="11"/>
        <v>75.106590922501596</v>
      </c>
      <c r="L44">
        <f t="shared" si="12"/>
        <v>-484</v>
      </c>
      <c r="M44">
        <f t="shared" si="13"/>
        <v>-426</v>
      </c>
      <c r="N44">
        <f t="shared" si="14"/>
        <v>-335</v>
      </c>
    </row>
    <row r="45" spans="1:14">
      <c r="A45" t="s">
        <v>211</v>
      </c>
      <c r="B45">
        <v>-2989</v>
      </c>
      <c r="C45">
        <v>-3118</v>
      </c>
      <c r="D45">
        <v>-4995</v>
      </c>
      <c r="E45">
        <v>-2009</v>
      </c>
      <c r="F45">
        <v>-403</v>
      </c>
      <c r="G45">
        <v>-596</v>
      </c>
      <c r="J45">
        <f t="shared" si="10"/>
        <v>-2351.6666666666665</v>
      </c>
      <c r="K45">
        <f t="shared" si="11"/>
        <v>1730.7662657524459</v>
      </c>
      <c r="L45">
        <f t="shared" si="12"/>
        <v>-4995</v>
      </c>
      <c r="M45">
        <f t="shared" si="13"/>
        <v>-2499</v>
      </c>
      <c r="N45">
        <f t="shared" si="14"/>
        <v>-403</v>
      </c>
    </row>
    <row r="46" spans="1:14">
      <c r="A46" t="s">
        <v>185</v>
      </c>
      <c r="B46">
        <v>-255</v>
      </c>
      <c r="C46">
        <v>-327</v>
      </c>
      <c r="D46">
        <v>-241</v>
      </c>
      <c r="E46">
        <v>-271</v>
      </c>
      <c r="F46">
        <v>-105</v>
      </c>
      <c r="G46">
        <v>-184</v>
      </c>
      <c r="J46">
        <f t="shared" si="10"/>
        <v>-230.5</v>
      </c>
      <c r="K46">
        <f t="shared" si="11"/>
        <v>76.909687296204766</v>
      </c>
      <c r="L46">
        <f t="shared" si="12"/>
        <v>-327</v>
      </c>
      <c r="M46">
        <f t="shared" si="13"/>
        <v>-248</v>
      </c>
      <c r="N46">
        <f t="shared" si="14"/>
        <v>-105</v>
      </c>
    </row>
    <row r="47" spans="1:14">
      <c r="A47" s="1" t="s">
        <v>212</v>
      </c>
      <c r="B47">
        <v>-3205</v>
      </c>
      <c r="C47">
        <v>7485</v>
      </c>
      <c r="D47">
        <v>2584</v>
      </c>
      <c r="E47">
        <v>2511</v>
      </c>
      <c r="F47">
        <v>-23498</v>
      </c>
      <c r="G47">
        <v>2315</v>
      </c>
      <c r="J47">
        <f t="shared" si="10"/>
        <v>-1968</v>
      </c>
      <c r="K47">
        <f t="shared" si="11"/>
        <v>11077.513367177671</v>
      </c>
      <c r="L47">
        <f t="shared" si="12"/>
        <v>-23498</v>
      </c>
      <c r="M47">
        <f t="shared" si="13"/>
        <v>2413</v>
      </c>
      <c r="N47">
        <f t="shared" si="14"/>
        <v>7485</v>
      </c>
    </row>
    <row r="48" spans="1:14">
      <c r="A48" t="s">
        <v>213</v>
      </c>
    </row>
    <row r="49" spans="1:14">
      <c r="A49" t="s">
        <v>214</v>
      </c>
      <c r="B49">
        <v>532</v>
      </c>
      <c r="C49">
        <v>-458</v>
      </c>
      <c r="D49">
        <v>-104</v>
      </c>
      <c r="E49">
        <v>-414</v>
      </c>
      <c r="F49">
        <v>-232</v>
      </c>
      <c r="G49">
        <v>225</v>
      </c>
      <c r="J49">
        <f>AVERAGE(B49:G49)</f>
        <v>-75.166666666666671</v>
      </c>
      <c r="K49">
        <f>STDEV(B49:G49)</f>
        <v>386.14733802872013</v>
      </c>
      <c r="L49">
        <f>MIN(B49:G49)</f>
        <v>-458</v>
      </c>
      <c r="M49">
        <f>MEDIAN(B49:G49)</f>
        <v>-168</v>
      </c>
      <c r="N49">
        <f>MAX(B49:G49)</f>
        <v>532</v>
      </c>
    </row>
    <row r="50" spans="1:14">
      <c r="A50" t="s">
        <v>215</v>
      </c>
      <c r="B50">
        <v>560</v>
      </c>
      <c r="C50">
        <v>-1920</v>
      </c>
      <c r="D50">
        <v>-230</v>
      </c>
      <c r="E50">
        <v>4603</v>
      </c>
      <c r="F50">
        <v>-5198</v>
      </c>
      <c r="G50">
        <v>8194</v>
      </c>
      <c r="J50">
        <f>AVERAGE(B50:G50)</f>
        <v>1001.5</v>
      </c>
      <c r="K50">
        <f>STDEV(B50:G50)</f>
        <v>4762.0024254508735</v>
      </c>
      <c r="L50">
        <f>MIN(B50:G50)</f>
        <v>-5198</v>
      </c>
      <c r="M50">
        <f>MEDIAN(B50:G50)</f>
        <v>165</v>
      </c>
      <c r="N50">
        <f>MAX(B50:G50)</f>
        <v>8194</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tint="0.59999389629810485"/>
  </sheetPr>
  <dimension ref="A1"/>
  <sheetViews>
    <sheetView workbookViewId="0">
      <selection activeCell="J3" sqref="J3"/>
    </sheetView>
  </sheetViews>
  <sheetFormatPr defaultColWidth="8.85546875" defaultRowHeight="15"/>
  <sheetData>
    <row r="1" spans="1:1">
      <c r="A1" t="s">
        <v>108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tint="0.59999389629810485"/>
  </sheetPr>
  <dimension ref="A1:I50"/>
  <sheetViews>
    <sheetView topLeftCell="A36" workbookViewId="0"/>
  </sheetViews>
  <sheetFormatPr defaultColWidth="8.85546875" defaultRowHeight="15"/>
  <cols>
    <col min="1" max="1" width="96.28515625" bestFit="1" customWidth="1"/>
    <col min="2" max="2" width="17.140625" customWidth="1"/>
    <col min="3" max="8" width="16.140625" customWidth="1"/>
  </cols>
  <sheetData>
    <row r="1" spans="1:9">
      <c r="A1" s="1" t="s">
        <v>15</v>
      </c>
      <c r="B1" s="1" t="s">
        <v>16</v>
      </c>
      <c r="C1" s="1" t="s">
        <v>17</v>
      </c>
      <c r="D1" s="1" t="s">
        <v>18</v>
      </c>
      <c r="E1" s="1" t="s">
        <v>19</v>
      </c>
      <c r="F1" s="1" t="s">
        <v>20</v>
      </c>
      <c r="G1" s="1" t="s">
        <v>21</v>
      </c>
      <c r="I1" s="1"/>
    </row>
    <row r="2" spans="1:9">
      <c r="B2" s="9">
        <v>2025</v>
      </c>
      <c r="C2" s="9">
        <v>2024</v>
      </c>
      <c r="D2" s="9">
        <v>2023</v>
      </c>
      <c r="E2" s="9">
        <v>2022</v>
      </c>
      <c r="F2" s="9">
        <v>2021</v>
      </c>
      <c r="G2" s="9">
        <v>2020</v>
      </c>
    </row>
    <row r="3" spans="1:9">
      <c r="A3" t="s">
        <v>171</v>
      </c>
    </row>
    <row r="4" spans="1:9">
      <c r="A4" t="s">
        <v>172</v>
      </c>
      <c r="B4" s="62">
        <f>D1_StatmentofCFs!B4/D1_IncomeStatment!B$9</f>
        <v>-4.3584828079693702E-2</v>
      </c>
      <c r="C4" s="62">
        <f>D1_StatmentofCFs!C4/D1_IncomeStatment!C$9</f>
        <v>3.1860837225393533E-2</v>
      </c>
      <c r="D4" s="62">
        <f>D1_StatmentofCFs!D4/D1_IncomeStatment!D$9</f>
        <v>2.4569926954271216E-2</v>
      </c>
      <c r="E4" s="62">
        <f>D1_StatmentofCFs!E4/D1_IncomeStatment!E$9</f>
        <v>-1.3615341300923085E-2</v>
      </c>
      <c r="F4" s="62">
        <f>D1_StatmentofCFs!F4/D1_IncomeStatment!F$9</f>
        <v>0.13136180605980594</v>
      </c>
      <c r="G4" s="62">
        <f>D1_StatmentofCFs!G4/D1_IncomeStatment!G$9</f>
        <v>-1.0035864846158687E-2</v>
      </c>
    </row>
    <row r="5" spans="1:9">
      <c r="A5" t="s">
        <v>173</v>
      </c>
      <c r="B5" s="62">
        <f>D1_StatmentofCFs!B5/D1_IncomeStatment!B$9</f>
        <v>4.1833318203420782E-2</v>
      </c>
      <c r="C5" s="62">
        <f>D1_StatmentofCFs!C5/D1_IncomeStatment!C$9</f>
        <v>4.0904471544715444E-2</v>
      </c>
      <c r="D5" s="62">
        <f>D1_StatmentofCFs!D5/D1_IncomeStatment!D$9</f>
        <v>4.3645816188114035E-2</v>
      </c>
      <c r="E5" s="62">
        <f>D1_StatmentofCFs!E5/D1_IncomeStatment!E$9</f>
        <v>4.8349646013779841E-2</v>
      </c>
      <c r="F5" s="62">
        <f>D1_StatmentofCFs!F5/D1_IncomeStatment!F$9</f>
        <v>5.367424325771411E-2</v>
      </c>
      <c r="G5" s="62">
        <f>D1_StatmentofCFs!G5/D1_IncomeStatment!G$9</f>
        <v>6.88274712137419E-2</v>
      </c>
    </row>
    <row r="6" spans="1:9">
      <c r="A6" t="s">
        <v>118</v>
      </c>
      <c r="B6" s="62">
        <f>D1_StatmentofCFs!B6/D1_IncomeStatment!B$9</f>
        <v>0</v>
      </c>
      <c r="C6" s="62">
        <f>D1_StatmentofCFs!C6/D1_IncomeStatment!C$9</f>
        <v>0</v>
      </c>
      <c r="D6" s="62">
        <f>D1_StatmentofCFs!D6/D1_IncomeStatment!D$9</f>
        <v>0</v>
      </c>
      <c r="E6" s="62">
        <f>D1_StatmentofCFs!E6/D1_IncomeStatment!E$9</f>
        <v>4.8349646013779841E-2</v>
      </c>
      <c r="F6" s="62">
        <f>D1_StatmentofCFs!F6/D1_IncomeStatment!F$9</f>
        <v>0</v>
      </c>
      <c r="G6" s="62">
        <f>D1_StatmentofCFs!G6/D1_IncomeStatment!G$9</f>
        <v>0</v>
      </c>
    </row>
    <row r="7" spans="1:9">
      <c r="A7" t="s">
        <v>174</v>
      </c>
      <c r="B7" s="62">
        <f>D1_StatmentofCFs!B7/D1_IncomeStatment!B$9</f>
        <v>-9.820203239225278E-3</v>
      </c>
      <c r="C7" s="62">
        <f>D1_StatmentofCFs!C7/D1_IncomeStatment!C$9</f>
        <v>-9.1895865767168319E-3</v>
      </c>
      <c r="D7" s="62">
        <f>D1_StatmentofCFs!D7/D1_IncomeStatment!D$9</f>
        <v>-6.6234938220453938E-3</v>
      </c>
      <c r="E7" s="62">
        <f>D1_StatmentofCFs!E7/D1_IncomeStatment!E$9</f>
        <v>-7.2695293470077249E-3</v>
      </c>
      <c r="F7" s="62">
        <f>D1_StatmentofCFs!F7/D1_IncomeStatment!F$9</f>
        <v>-9.9603200797999131E-3</v>
      </c>
      <c r="G7" s="62">
        <f>D1_StatmentofCFs!G7/D1_IncomeStatment!G$9</f>
        <v>-1.0177436607311395E-2</v>
      </c>
    </row>
    <row r="8" spans="1:9">
      <c r="A8" t="s">
        <v>175</v>
      </c>
      <c r="B8" s="62">
        <f>D1_StatmentofCFs!B8/D1_IncomeStatment!B$9</f>
        <v>0</v>
      </c>
      <c r="C8" s="62">
        <f>D1_StatmentofCFs!C8/D1_IncomeStatment!C$9</f>
        <v>0</v>
      </c>
      <c r="D8" s="62">
        <f>D1_StatmentofCFs!D8/D1_IncomeStatment!D$9</f>
        <v>0</v>
      </c>
      <c r="E8" s="62">
        <f>D1_StatmentofCFs!E8/D1_IncomeStatment!E$9</f>
        <v>0</v>
      </c>
      <c r="F8" s="62">
        <f>D1_StatmentofCFs!F8/D1_IncomeStatment!F$9</f>
        <v>0</v>
      </c>
      <c r="G8" s="62">
        <f>D1_StatmentofCFs!G8/D1_IncomeStatment!G$9</f>
        <v>1.8089725036179449E-4</v>
      </c>
    </row>
    <row r="9" spans="1:9">
      <c r="A9" t="s">
        <v>176</v>
      </c>
      <c r="B9" s="62">
        <f>D1_StatmentofCFs!B9/D1_IncomeStatment!B$9</f>
        <v>0</v>
      </c>
      <c r="C9" s="62">
        <f>D1_StatmentofCFs!C9/D1_IncomeStatment!C$9</f>
        <v>0</v>
      </c>
      <c r="D9" s="62">
        <f>D1_StatmentofCFs!D9/D1_IncomeStatment!D$9</f>
        <v>0</v>
      </c>
      <c r="E9" s="62">
        <f>D1_StatmentofCFs!E9/D1_IncomeStatment!E$9</f>
        <v>0</v>
      </c>
      <c r="F9" s="62">
        <f>D1_StatmentofCFs!F9/D1_IncomeStatment!F$9</f>
        <v>-2.6991147197101386E-3</v>
      </c>
      <c r="G9" s="62">
        <f>D1_StatmentofCFs!G9/D1_IncomeStatment!G$9</f>
        <v>-2.7103127162901905E-2</v>
      </c>
    </row>
    <row r="10" spans="1:9">
      <c r="A10" t="s">
        <v>177</v>
      </c>
      <c r="B10" s="62">
        <f>D1_StatmentofCFs!B10/D1_IncomeStatment!B$9</f>
        <v>5.0382608788521202E-2</v>
      </c>
      <c r="C10" s="62">
        <f>D1_StatmentofCFs!C10/D1_IncomeStatment!C$9</f>
        <v>0</v>
      </c>
      <c r="D10" s="62">
        <f>D1_StatmentofCFs!D10/D1_IncomeStatment!D$9</f>
        <v>0</v>
      </c>
      <c r="E10" s="62">
        <f>D1_StatmentofCFs!E10/D1_IncomeStatment!E$9</f>
        <v>0</v>
      </c>
      <c r="F10" s="62">
        <f>D1_StatmentofCFs!F10/D1_IncomeStatment!F$9</f>
        <v>0</v>
      </c>
      <c r="G10" s="62">
        <f>D1_StatmentofCFs!G10/D1_IncomeStatment!G$9</f>
        <v>0</v>
      </c>
    </row>
    <row r="11" spans="1:9">
      <c r="A11" t="s">
        <v>178</v>
      </c>
      <c r="B11" s="62">
        <f>D1_StatmentofCFs!B11/D1_IncomeStatment!B$9</f>
        <v>0</v>
      </c>
      <c r="C11" s="62">
        <f>D1_StatmentofCFs!C11/D1_IncomeStatment!C$9</f>
        <v>0</v>
      </c>
      <c r="D11" s="62">
        <f>D1_StatmentofCFs!D11/D1_IncomeStatment!D$9</f>
        <v>0</v>
      </c>
      <c r="E11" s="62">
        <f>D1_StatmentofCFs!E11/D1_IncomeStatment!E$9</f>
        <v>0</v>
      </c>
      <c r="F11" s="62">
        <f>D1_StatmentofCFs!F11/D1_IncomeStatment!F$9</f>
        <v>0</v>
      </c>
      <c r="G11" s="62">
        <f>D1_StatmentofCFs!G11/D1_IncomeStatment!G$9</f>
        <v>9.1156483986660798E-3</v>
      </c>
    </row>
    <row r="12" spans="1:9">
      <c r="A12" t="s">
        <v>179</v>
      </c>
      <c r="B12" s="62">
        <f>D1_StatmentofCFs!B12/D1_IncomeStatment!B$9</f>
        <v>0</v>
      </c>
      <c r="C12" s="62">
        <f>D1_StatmentofCFs!C12/D1_IncomeStatment!C$9</f>
        <v>0</v>
      </c>
      <c r="D12" s="62">
        <f>D1_StatmentofCFs!D12/D1_IncomeStatment!D$9</f>
        <v>0</v>
      </c>
      <c r="E12" s="62">
        <f>D1_StatmentofCFs!E12/D1_IncomeStatment!E$9</f>
        <v>0</v>
      </c>
      <c r="F12" s="62">
        <f>D1_StatmentofCFs!F12/D1_IncomeStatment!F$9</f>
        <v>8.5080790077819582E-4</v>
      </c>
      <c r="G12" s="62">
        <f>D1_StatmentofCFs!G12/D1_IncomeStatment!G$9</f>
        <v>1.0224627194362298E-3</v>
      </c>
    </row>
    <row r="13" spans="1:9">
      <c r="A13" t="s">
        <v>180</v>
      </c>
      <c r="B13" s="62">
        <f>D1_StatmentofCFs!B13/D1_IncomeStatment!B$9</f>
        <v>1.9074369750142844E-2</v>
      </c>
      <c r="C13" s="62">
        <f>D1_StatmentofCFs!C13/D1_IncomeStatment!C$9</f>
        <v>-1.5514184397163121E-3</v>
      </c>
      <c r="D13" s="62">
        <f>D1_StatmentofCFs!D13/D1_IncomeStatment!D$9</f>
        <v>-1.8729674046914996E-4</v>
      </c>
      <c r="E13" s="62">
        <f>D1_StatmentofCFs!E13/D1_IncomeStatment!E$9</f>
        <v>2.1030387771500157E-2</v>
      </c>
      <c r="F13" s="62">
        <f>D1_StatmentofCFs!F13/D1_IncomeStatment!F$9</f>
        <v>0</v>
      </c>
      <c r="G13" s="62">
        <f>D1_StatmentofCFs!G13/D1_IncomeStatment!G$9</f>
        <v>0</v>
      </c>
    </row>
    <row r="14" spans="1:9">
      <c r="A14" t="s">
        <v>181</v>
      </c>
      <c r="B14" s="62">
        <f>D1_StatmentofCFs!B14/D1_IncomeStatment!B$9</f>
        <v>2.7233842588389838E-3</v>
      </c>
      <c r="C14" s="62">
        <f>D1_StatmentofCFs!C14/D1_IncomeStatment!C$9</f>
        <v>2.7622816121778237E-3</v>
      </c>
      <c r="D14" s="62">
        <f>D1_StatmentofCFs!D14/D1_IncomeStatment!D$9</f>
        <v>2.6108030489639085E-3</v>
      </c>
      <c r="E14" s="62">
        <f>D1_StatmentofCFs!E14/D1_IncomeStatment!E$9</f>
        <v>2.1258153704043479E-3</v>
      </c>
      <c r="F14" s="62">
        <f>D1_StatmentofCFs!F14/D1_IncomeStatment!F$9</f>
        <v>2.237038014977153E-3</v>
      </c>
      <c r="G14" s="62">
        <f>D1_StatmentofCFs!G14/D1_IncomeStatment!G$9</f>
        <v>1.5651544705216132E-3</v>
      </c>
    </row>
    <row r="15" spans="1:9">
      <c r="A15" t="s">
        <v>182</v>
      </c>
      <c r="B15" s="62">
        <f>D1_StatmentofCFs!B15/D1_IncomeStatment!B$9</f>
        <v>3.2894209871466942E-3</v>
      </c>
      <c r="C15" s="62">
        <f>D1_StatmentofCFs!C15/D1_IncomeStatment!C$9</f>
        <v>3.1082425185953986E-3</v>
      </c>
      <c r="D15" s="62">
        <f>D1_StatmentofCFs!D15/D1_IncomeStatment!D$9</f>
        <v>2.4859385553178087E-3</v>
      </c>
      <c r="E15" s="62">
        <f>D1_StatmentofCFs!E15/D1_IncomeStatment!E$9</f>
        <v>2.910342471386905E-4</v>
      </c>
      <c r="F15" s="62">
        <f>D1_StatmentofCFs!F15/D1_IncomeStatment!F$9</f>
        <v>0</v>
      </c>
      <c r="G15" s="62">
        <f>D1_StatmentofCFs!G15/D1_IncomeStatment!G$9</f>
        <v>0</v>
      </c>
    </row>
    <row r="16" spans="1:9">
      <c r="A16" t="s">
        <v>183</v>
      </c>
      <c r="B16" s="62">
        <f>D1_StatmentofCFs!B16/D1_IncomeStatment!B$9</f>
        <v>0</v>
      </c>
      <c r="C16" s="62">
        <f>D1_StatmentofCFs!C16/D1_IncomeStatment!C$9</f>
        <v>0</v>
      </c>
      <c r="D16" s="62">
        <f>D1_StatmentofCFs!D16/D1_IncomeStatment!D$9</f>
        <v>0</v>
      </c>
      <c r="E16" s="62">
        <f>D1_StatmentofCFs!E16/D1_IncomeStatment!E$9</f>
        <v>0</v>
      </c>
      <c r="F16" s="62">
        <f>D1_StatmentofCFs!F16/D1_IncomeStatment!F$9</f>
        <v>-2.18569615889571E-3</v>
      </c>
      <c r="G16" s="62">
        <f>D1_StatmentofCFs!G16/D1_IncomeStatment!G$9</f>
        <v>7.306675895048134E-3</v>
      </c>
    </row>
    <row r="17" spans="1:7">
      <c r="A17" t="s">
        <v>184</v>
      </c>
      <c r="B17" s="62">
        <f>D1_StatmentofCFs!B17/D1_IncomeStatment!B$9</f>
        <v>-4.6457731474312076E-4</v>
      </c>
      <c r="C17" s="62">
        <f>D1_StatmentofCFs!C17/D1_IncomeStatment!C$9</f>
        <v>1.2270800899498357E-3</v>
      </c>
      <c r="D17" s="62">
        <f>D1_StatmentofCFs!D17/D1_IncomeStatment!D$9</f>
        <v>-1.3281041596903361E-3</v>
      </c>
      <c r="E17" s="62">
        <f>D1_StatmentofCFs!E17/D1_IncomeStatment!E$9</f>
        <v>-1.7082444940749223E-4</v>
      </c>
      <c r="F17" s="62">
        <f>D1_StatmentofCFs!F17/D1_IncomeStatment!F$9</f>
        <v>3.9019810621896567E-3</v>
      </c>
      <c r="G17" s="62">
        <f>D1_StatmentofCFs!G17/D1_IncomeStatment!G$9</f>
        <v>-3.3033410935632041E-3</v>
      </c>
    </row>
    <row r="18" spans="1:7">
      <c r="A18" t="s">
        <v>185</v>
      </c>
      <c r="B18" s="62">
        <f>D1_StatmentofCFs!B18/D1_IncomeStatment!B$9</f>
        <v>2.0291882712917919E-3</v>
      </c>
      <c r="C18" s="62">
        <f>D1_StatmentofCFs!C18/D1_IncomeStatment!C$9</f>
        <v>2.3730755924580523E-3</v>
      </c>
      <c r="D18" s="62">
        <f>D1_StatmentofCFs!D18/D1_IncomeStatment!D$9</f>
        <v>3.7686374445913811E-3</v>
      </c>
      <c r="E18" s="62">
        <f>D1_StatmentofCFs!E18/D1_IncomeStatment!E$9</f>
        <v>4.1377477745370341E-3</v>
      </c>
      <c r="F18" s="62">
        <f>D1_StatmentofCFs!F18/D1_IncomeStatment!F$9</f>
        <v>-1.3642264615926244E-3</v>
      </c>
      <c r="G18" s="62">
        <f>D1_StatmentofCFs!G18/D1_IncomeStatment!G$9</f>
        <v>5.6628704461083494E-4</v>
      </c>
    </row>
    <row r="19" spans="1:7">
      <c r="A19" t="s">
        <v>186</v>
      </c>
      <c r="B19" s="62">
        <f>D1_StatmentofCFs!B19/D1_IncomeStatment!B$9</f>
        <v>0</v>
      </c>
      <c r="C19" s="62">
        <f>D1_StatmentofCFs!C19/D1_IncomeStatment!C$9</f>
        <v>0</v>
      </c>
      <c r="D19" s="62">
        <f>D1_StatmentofCFs!D19/D1_IncomeStatment!D$9</f>
        <v>0</v>
      </c>
      <c r="E19" s="62">
        <f>D1_StatmentofCFs!E19/D1_IncomeStatment!E$9</f>
        <v>0</v>
      </c>
      <c r="F19" s="62">
        <f>D1_StatmentofCFs!F19/D1_IncomeStatment!F$9</f>
        <v>1.2483405578659391E-2</v>
      </c>
      <c r="G19" s="62">
        <f>D1_StatmentofCFs!G19/D1_IncomeStatment!G$9</f>
        <v>7.8650978418171526E-6</v>
      </c>
    </row>
    <row r="20" spans="1:7">
      <c r="A20" t="s">
        <v>187</v>
      </c>
      <c r="B20" s="62">
        <f>D1_StatmentofCFs!B20/D1_IncomeStatment!B$9</f>
        <v>5.6710472213470607E-3</v>
      </c>
      <c r="C20" s="62">
        <f>D1_StatmentofCFs!C20/D1_IncomeStatment!C$9</f>
        <v>8.054402352534164E-4</v>
      </c>
      <c r="D20" s="62">
        <f>D1_StatmentofCFs!D20/D1_IncomeStatment!D$9</f>
        <v>1.7322110663995322E-2</v>
      </c>
      <c r="E20" s="62">
        <f>D1_StatmentofCFs!E20/D1_IncomeStatment!E$9</f>
        <v>-2.3915422917048911E-3</v>
      </c>
      <c r="F20" s="62">
        <f>D1_StatmentofCFs!F20/D1_IncomeStatment!F$9</f>
        <v>-3.5682589976602785E-2</v>
      </c>
      <c r="G20" s="62">
        <f>D1_StatmentofCFs!G20/D1_IncomeStatment!G$9</f>
        <v>8.077455483546216E-3</v>
      </c>
    </row>
    <row r="21" spans="1:7">
      <c r="A21" t="s">
        <v>188</v>
      </c>
      <c r="B21" s="62">
        <f>D1_StatmentofCFs!B21/D1_IncomeStatment!B$9</f>
        <v>-1.8476293207025263E-3</v>
      </c>
      <c r="C21" s="62">
        <f>D1_StatmentofCFs!C21/D1_IncomeStatment!C$9</f>
        <v>2.2703684483653348E-4</v>
      </c>
      <c r="D21" s="62">
        <f>D1_StatmentofCFs!D21/D1_IncomeStatment!D$9</f>
        <v>1.1635100544295678E-3</v>
      </c>
      <c r="E21" s="62">
        <f>D1_StatmentofCFs!E21/D1_IncomeStatment!E$9</f>
        <v>4.7565118912797279E-2</v>
      </c>
      <c r="F21" s="62">
        <f>D1_StatmentofCFs!F21/D1_IncomeStatment!F$9</f>
        <v>-6.7177151407133581E-2</v>
      </c>
      <c r="G21" s="62">
        <f>D1_StatmentofCFs!G21/D1_IncomeStatment!G$9</f>
        <v>-2.4775058201724032E-3</v>
      </c>
    </row>
    <row r="22" spans="1:7">
      <c r="A22" t="s">
        <v>189</v>
      </c>
      <c r="B22" s="62">
        <f>D1_StatmentofCFs!B22/D1_IncomeStatment!B$9</f>
        <v>-1.4903853855724713E-2</v>
      </c>
      <c r="C22" s="62">
        <f>D1_StatmentofCFs!C22/D1_IncomeStatment!C$9</f>
        <v>-1.3497880989448192E-2</v>
      </c>
      <c r="D22" s="62">
        <f>D1_StatmentofCFs!D22/D1_IncomeStatment!D$9</f>
        <v>-1.4870226061490088E-2</v>
      </c>
      <c r="E22" s="62">
        <f>D1_StatmentofCFs!E22/D1_IncomeStatment!E$9</f>
        <v>-7.4846416166319749E-3</v>
      </c>
      <c r="F22" s="62">
        <f>D1_StatmentofCFs!F22/D1_IncomeStatment!F$9</f>
        <v>-8.3687225412751847E-3</v>
      </c>
      <c r="G22" s="62">
        <f>D1_StatmentofCFs!G22/D1_IncomeStatment!G$9</f>
        <v>-4.9550116403448063E-4</v>
      </c>
    </row>
    <row r="23" spans="1:7">
      <c r="A23" t="s">
        <v>190</v>
      </c>
      <c r="B23" s="62">
        <f>D1_StatmentofCFs!B23/D1_IncomeStatment!B$9</f>
        <v>2.6657125921812172E-2</v>
      </c>
      <c r="C23" s="62">
        <f>D1_StatmentofCFs!C23/D1_IncomeStatment!C$9</f>
        <v>-2.3238842760768035E-2</v>
      </c>
      <c r="D23" s="62">
        <f>D1_StatmentofCFs!D23/D1_IncomeStatment!D$9</f>
        <v>-2.7396405037714754E-2</v>
      </c>
      <c r="E23" s="62">
        <f>D1_StatmentofCFs!E23/D1_IncomeStatment!E$9</f>
        <v>-6.681134021270807E-2</v>
      </c>
      <c r="F23" s="62">
        <f>D1_StatmentofCFs!F23/D1_IncomeStatment!F$9</f>
        <v>5.6153321451360927E-2</v>
      </c>
      <c r="G23" s="62">
        <f>D1_StatmentofCFs!G23/D1_IncomeStatment!G$9</f>
        <v>9.5199144277354805E-2</v>
      </c>
    </row>
    <row r="24" spans="1:7">
      <c r="A24" t="s">
        <v>191</v>
      </c>
      <c r="B24" s="62">
        <f>D1_StatmentofCFs!B24/D1_IncomeStatment!B$9</f>
        <v>2.8782433637533577E-3</v>
      </c>
      <c r="C24" s="62">
        <f>D1_StatmentofCFs!C24/D1_IncomeStatment!C$9</f>
        <v>1.4595225739491438E-4</v>
      </c>
      <c r="D24" s="62">
        <f>D1_StatmentofCFs!D24/D1_IncomeStatment!D$9</f>
        <v>-6.9186280797543572E-3</v>
      </c>
      <c r="E24" s="62">
        <f>D1_StatmentofCFs!E24/D1_IncomeStatment!E$9</f>
        <v>-1.6297917839766668E-2</v>
      </c>
      <c r="F24" s="62">
        <f>D1_StatmentofCFs!F24/D1_IncomeStatment!F$9</f>
        <v>-1.3040831444686485E-2</v>
      </c>
      <c r="G24" s="62">
        <f>D1_StatmentofCFs!G24/D1_IncomeStatment!G$9</f>
        <v>1.1640344805889384E-3</v>
      </c>
    </row>
    <row r="25" spans="1:7">
      <c r="A25" t="s">
        <v>192</v>
      </c>
      <c r="B25" s="62">
        <f>D1_StatmentofCFs!B25/D1_IncomeStatment!B$9</f>
        <v>5.3949708170686776E-2</v>
      </c>
      <c r="C25" s="62">
        <f>D1_StatmentofCFs!C25/D1_IncomeStatment!C$9</f>
        <v>4.5542509946376063E-2</v>
      </c>
      <c r="D25" s="62">
        <f>D1_StatmentofCFs!D25/D1_IncomeStatment!D$9</f>
        <v>5.578605036579621E-2</v>
      </c>
      <c r="E25" s="62">
        <f>D1_StatmentofCFs!E25/D1_IncomeStatment!E$9</f>
        <v>4.5983411047913092E-2</v>
      </c>
      <c r="F25" s="62">
        <f>D1_StatmentofCFs!F25/D1_IncomeStatment!F$9</f>
        <v>-2.6404383127599183E-4</v>
      </c>
      <c r="G25" s="62">
        <f>D1_StatmentofCFs!G25/D1_IncomeStatment!G$9</f>
        <v>5.3553451204932989E-2</v>
      </c>
    </row>
    <row r="26" spans="1:7">
      <c r="A26" t="s">
        <v>193</v>
      </c>
      <c r="B26" s="62">
        <f>D1_StatmentofCFs!B26/D1_IncomeStatment!B$9</f>
        <v>-2.4222099996262021E-2</v>
      </c>
      <c r="C26" s="62">
        <f>D1_StatmentofCFs!C26/D1_IncomeStatment!C$9</f>
        <v>1.8919737069711122E-3</v>
      </c>
      <c r="D26" s="62">
        <f>D1_StatmentofCFs!D26/D1_IncomeStatment!D$9</f>
        <v>-9.3591613646554026E-3</v>
      </c>
      <c r="E26" s="62">
        <f>D1_StatmentofCFs!E26/D1_IncomeStatment!E$9</f>
        <v>-1.2084248087715192E-2</v>
      </c>
      <c r="F26" s="62">
        <f>D1_StatmentofCFs!F26/D1_IncomeStatment!F$9</f>
        <v>-4.1293521391217612E-3</v>
      </c>
      <c r="G26" s="62">
        <f>D1_StatmentofCFs!G26/D1_IncomeStatment!G$9</f>
        <v>-2.1157113194488139E-3</v>
      </c>
    </row>
    <row r="27" spans="1:7">
      <c r="A27" t="s">
        <v>194</v>
      </c>
      <c r="B27" s="62">
        <f>D1_StatmentofCFs!B27/D1_IncomeStatment!B$9</f>
        <v>0.1136452231306103</v>
      </c>
      <c r="C27" s="62">
        <f>D1_StatmentofCFs!C27/D1_IncomeStatment!C$9</f>
        <v>8.3371172807472749E-2</v>
      </c>
      <c r="D27" s="62">
        <f>D1_StatmentofCFs!D27/D1_IncomeStatment!D$9</f>
        <v>8.4669478009659974E-2</v>
      </c>
      <c r="E27" s="62">
        <f>D1_StatmentofCFs!E27/D1_IncomeStatment!E$9</f>
        <v>4.3357775992205347E-2</v>
      </c>
      <c r="F27" s="62">
        <f>D1_StatmentofCFs!F27/D1_IncomeStatment!F$9</f>
        <v>0.11579055456539118</v>
      </c>
      <c r="G27" s="62">
        <f>D1_StatmentofCFs!G27/D1_IncomeStatment!G$9</f>
        <v>0.19087805952306047</v>
      </c>
    </row>
    <row r="28" spans="1:7">
      <c r="A28" t="s">
        <v>195</v>
      </c>
      <c r="B28" s="62">
        <f>D1_StatmentofCFs!B28/D1_IncomeStatment!B$9</f>
        <v>0</v>
      </c>
      <c r="C28" s="62">
        <f>D1_StatmentofCFs!C28/D1_IncomeStatment!C$9</f>
        <v>0</v>
      </c>
      <c r="D28" s="62">
        <f>D1_StatmentofCFs!D28/D1_IncomeStatment!D$9</f>
        <v>0</v>
      </c>
      <c r="E28" s="62">
        <f>D1_StatmentofCFs!E28/D1_IncomeStatment!E$9</f>
        <v>0</v>
      </c>
      <c r="F28" s="62">
        <f>D1_StatmentofCFs!F28/D1_IncomeStatment!F$9</f>
        <v>0</v>
      </c>
      <c r="G28" s="62">
        <f>D1_StatmentofCFs!G28/D1_IncomeStatment!G$9</f>
        <v>0</v>
      </c>
    </row>
    <row r="29" spans="1:7">
      <c r="A29" t="s">
        <v>196</v>
      </c>
      <c r="B29" s="62">
        <f>D1_StatmentofCFs!B29/D1_IncomeStatment!B$9</f>
        <v>-4.7071827924834594E-2</v>
      </c>
      <c r="C29" s="62">
        <f>D1_StatmentofCFs!C29/D1_IncomeStatment!C$9</f>
        <v>-4.694257048953468E-2</v>
      </c>
      <c r="D29" s="62">
        <f>D1_StatmentofCFs!D29/D1_IncomeStatment!D$9</f>
        <v>-4.6744725894058155E-2</v>
      </c>
      <c r="E29" s="62">
        <f>D1_StatmentofCFs!E29/D1_IncomeStatment!E$9</f>
        <v>-4.3440024801179318E-2</v>
      </c>
      <c r="F29" s="62">
        <f>D1_StatmentofCFs!F29/D1_IncomeStatment!F$9</f>
        <v>-4.5672248259877805E-2</v>
      </c>
      <c r="G29" s="62">
        <f>D1_StatmentofCFs!G29/D1_IncomeStatment!G$9</f>
        <v>-4.5161391807714085E-2</v>
      </c>
    </row>
    <row r="30" spans="1:7">
      <c r="A30" t="s">
        <v>197</v>
      </c>
      <c r="B30" s="62">
        <f>D1_StatmentofCFs!B30/D1_IncomeStatment!B$9</f>
        <v>0</v>
      </c>
      <c r="C30" s="62">
        <f>D1_StatmentofCFs!C30/D1_IncomeStatment!C$9</f>
        <v>0</v>
      </c>
      <c r="D30" s="62">
        <f>D1_StatmentofCFs!D30/D1_IncomeStatment!D$9</f>
        <v>0</v>
      </c>
      <c r="E30" s="62">
        <f>D1_StatmentofCFs!E30/D1_IncomeStatment!E$9</f>
        <v>2.8407473253320003E-3</v>
      </c>
      <c r="F30" s="62">
        <f>D1_StatmentofCFs!F30/D1_IncomeStatment!F$9</f>
        <v>1.0635098759727449E-3</v>
      </c>
      <c r="G30" s="62">
        <f>D1_StatmentofCFs!G30/D1_IncomeStatment!G$9</f>
        <v>1.0539231108034983E-2</v>
      </c>
    </row>
    <row r="31" spans="1:7">
      <c r="A31" t="s">
        <v>198</v>
      </c>
      <c r="B31" s="62">
        <f>D1_StatmentofCFs!B31/D1_IncomeStatment!B$9</f>
        <v>9.088627467733236E-3</v>
      </c>
      <c r="C31" s="62">
        <f>D1_StatmentofCFs!C31/D1_IncomeStatment!C$9</f>
        <v>7.9192613734647976E-3</v>
      </c>
      <c r="D31" s="62">
        <f>D1_StatmentofCFs!D31/D1_IncomeStatment!D$9</f>
        <v>5.675658802095453E-6</v>
      </c>
      <c r="E31" s="62">
        <f>D1_StatmentofCFs!E31/D1_IncomeStatment!E$9</f>
        <v>0</v>
      </c>
      <c r="F31" s="62">
        <f>D1_StatmentofCFs!F31/D1_IncomeStatment!F$9</f>
        <v>0</v>
      </c>
      <c r="G31" s="62">
        <f>D1_StatmentofCFs!G31/D1_IncomeStatment!G$9</f>
        <v>0</v>
      </c>
    </row>
    <row r="32" spans="1:7">
      <c r="A32" t="s">
        <v>199</v>
      </c>
      <c r="B32" s="62">
        <f>D1_StatmentofCFs!B32/D1_IncomeStatment!B$9</f>
        <v>-6.2584438261946845E-3</v>
      </c>
      <c r="C32" s="62">
        <f>D1_StatmentofCFs!C32/D1_IncomeStatment!C$9</f>
        <v>-1.2557299775125411E-2</v>
      </c>
      <c r="D32" s="62">
        <f>D1_StatmentofCFs!D32/D1_IncomeStatment!D$9</f>
        <v>-1.5511575506126874E-2</v>
      </c>
      <c r="E32" s="62">
        <f>D1_StatmentofCFs!E32/D1_IncomeStatment!E$9</f>
        <v>-4.6692016171381214E-3</v>
      </c>
      <c r="F32" s="62">
        <f>D1_StatmentofCFs!F32/D1_IncomeStatment!F$9</f>
        <v>-4.1806939952032039E-4</v>
      </c>
      <c r="G32" s="62">
        <f>D1_StatmentofCFs!G32/D1_IncomeStatment!G$9</f>
        <v>-3.146039136726861E-5</v>
      </c>
    </row>
    <row r="33" spans="1:7">
      <c r="A33" t="s">
        <v>200</v>
      </c>
      <c r="B33" s="62">
        <f>D1_StatmentofCFs!B33/D1_IncomeStatment!B$9</f>
        <v>-5.0500088109490728E-2</v>
      </c>
      <c r="C33" s="62">
        <f>D1_StatmentofCFs!C33/D1_IncomeStatment!C$9</f>
        <v>-6.6489361702127658E-2</v>
      </c>
      <c r="D33" s="62">
        <f>D1_StatmentofCFs!D33/D1_IncomeStatment!D$9</f>
        <v>-4.8753909109999945E-2</v>
      </c>
      <c r="E33" s="62">
        <f>D1_StatmentofCFs!E33/D1_IncomeStatment!E$9</f>
        <v>-0.11045382362059257</v>
      </c>
      <c r="F33" s="62">
        <f>D1_StatmentofCFs!F33/D1_IncomeStatment!F$9</f>
        <v>-0.20163413793356363</v>
      </c>
      <c r="G33" s="62">
        <f>D1_StatmentofCFs!G33/D1_IncomeStatment!G$9</f>
        <v>-0.31164663688416283</v>
      </c>
    </row>
    <row r="34" spans="1:7">
      <c r="A34" t="s">
        <v>201</v>
      </c>
      <c r="B34" s="62">
        <f>D1_StatmentofCFs!B34/D1_IncomeStatment!B$9</f>
        <v>5.3736109405287641E-2</v>
      </c>
      <c r="C34" s="62">
        <f>D1_StatmentofCFs!C34/D1_IncomeStatment!C$9</f>
        <v>6.6738021103615291E-2</v>
      </c>
      <c r="D34" s="62">
        <f>D1_StatmentofCFs!D34/D1_IncomeStatment!D$9</f>
        <v>7.2080866786612255E-2</v>
      </c>
      <c r="E34" s="62">
        <f>D1_StatmentofCFs!E34/D1_IncomeStatment!E$9</f>
        <v>0.12095003701196404</v>
      </c>
      <c r="F34" s="62">
        <f>D1_StatmentofCFs!F34/D1_IncomeStatment!F$9</f>
        <v>0.24371979081860923</v>
      </c>
      <c r="G34" s="62">
        <f>D1_StatmentofCFs!G34/D1_IncomeStatment!G$9</f>
        <v>0.25478984458566667</v>
      </c>
    </row>
    <row r="35" spans="1:7">
      <c r="A35" t="s">
        <v>202</v>
      </c>
      <c r="B35" s="62">
        <f>D1_StatmentofCFs!B35/D1_IncomeStatment!B$9</f>
        <v>-0.29768725936764084</v>
      </c>
      <c r="C35" s="62">
        <f>D1_StatmentofCFs!C35/D1_IncomeStatment!C$9</f>
        <v>-0.3228247708008995</v>
      </c>
      <c r="D35" s="62">
        <f>D1_StatmentofCFs!D35/D1_IncomeStatment!D$9</f>
        <v>-0.3093517830082127</v>
      </c>
      <c r="E35" s="62">
        <f>D1_StatmentofCFs!E35/D1_IncomeStatment!E$9</f>
        <v>-0.28807961684708683</v>
      </c>
      <c r="F35" s="62">
        <f>D1_StatmentofCFs!F35/D1_IncomeStatment!F$9</f>
        <v>-0.3548382364805891</v>
      </c>
      <c r="G35" s="62">
        <f>D1_StatmentofCFs!G35/D1_IncomeStatment!G$9</f>
        <v>-0.43966683445542065</v>
      </c>
    </row>
    <row r="36" spans="1:7">
      <c r="A36" t="s">
        <v>203</v>
      </c>
      <c r="B36" s="62">
        <f>D1_StatmentofCFs!B36/D1_IncomeStatment!B$9</f>
        <v>0.24408998915986266</v>
      </c>
      <c r="C36" s="62">
        <f>D1_StatmentofCFs!C36/D1_IncomeStatment!C$9</f>
        <v>0.24411325895173847</v>
      </c>
      <c r="D36" s="62">
        <f>D1_StatmentofCFs!D36/D1_IncomeStatment!D$9</f>
        <v>0.2529130318801755</v>
      </c>
      <c r="E36" s="62">
        <f>D1_StatmentofCFs!E36/D1_IncomeStatment!E$9</f>
        <v>0.29278045262152264</v>
      </c>
      <c r="F36" s="62">
        <f>D1_StatmentofCFs!F36/D1_IncomeStatment!F$9</f>
        <v>0.3820860929580977</v>
      </c>
      <c r="G36" s="62">
        <f>D1_StatmentofCFs!G36/D1_IncomeStatment!G$9</f>
        <v>0.38339205939721888</v>
      </c>
    </row>
    <row r="37" spans="1:7">
      <c r="A37" t="s">
        <v>185</v>
      </c>
      <c r="B37" s="62">
        <f>D1_StatmentofCFs!B37/D1_IncomeStatment!B$9</f>
        <v>5.8739660484762393E-4</v>
      </c>
      <c r="C37" s="62">
        <f>D1_StatmentofCFs!C37/D1_IncomeStatment!C$9</f>
        <v>-2.4325376232485729E-4</v>
      </c>
      <c r="D37" s="62">
        <f>D1_StatmentofCFs!D37/D1_IncomeStatment!D$9</f>
        <v>-3.9048532558416719E-3</v>
      </c>
      <c r="E37" s="62">
        <f>D1_StatmentofCFs!E37/D1_IncomeStatment!E$9</f>
        <v>1.9739714153754659E-3</v>
      </c>
      <c r="F37" s="62">
        <f>D1_StatmentofCFs!F37/D1_IncomeStatment!F$9</f>
        <v>-2.1783616080269324E-3</v>
      </c>
      <c r="G37" s="62">
        <f>D1_StatmentofCFs!G37/D1_IncomeStatment!G$9</f>
        <v>3.9168187252249416E-3</v>
      </c>
    </row>
    <row r="38" spans="1:7">
      <c r="A38" t="s">
        <v>204</v>
      </c>
      <c r="B38" s="62">
        <f>D1_StatmentofCFs!B38/D1_IncomeStatment!B$9</f>
        <v>-2.3656063267954311E-3</v>
      </c>
      <c r="C38" s="62">
        <f>D1_StatmentofCFs!C38/D1_IncomeStatment!C$9</f>
        <v>-1.4487112956235945E-3</v>
      </c>
      <c r="D38" s="62">
        <f>D1_StatmentofCFs!D38/D1_IncomeStatment!D$9</f>
        <v>-7.8324091468917254E-4</v>
      </c>
      <c r="E38" s="62">
        <f>D1_StatmentofCFs!E38/D1_IncomeStatment!E$9</f>
        <v>5.9472215719645442E-4</v>
      </c>
      <c r="F38" s="62">
        <f>D1_StatmentofCFs!F38/D1_IncomeStatment!F$9</f>
        <v>-1.9949978363074938E-3</v>
      </c>
      <c r="G38" s="62">
        <f>D1_StatmentofCFs!G38/D1_IncomeStatment!G$9</f>
        <v>-2.5404266029069402E-3</v>
      </c>
    </row>
    <row r="39" spans="1:7">
      <c r="A39" t="s">
        <v>205</v>
      </c>
      <c r="B39" s="62">
        <f>D1_StatmentofCFs!B39/D1_IncomeStatment!B$9</f>
        <v>-9.6381102917225139E-2</v>
      </c>
      <c r="C39" s="62">
        <f>D1_StatmentofCFs!C39/D1_IncomeStatment!C$9</f>
        <v>-0.13173542639681715</v>
      </c>
      <c r="D39" s="62">
        <f>D1_StatmentofCFs!D39/D1_IncomeStatment!D$9</f>
        <v>-0.10005051336333864</v>
      </c>
      <c r="E39" s="62">
        <f>D1_StatmentofCFs!E39/D1_IncomeStatment!E$9</f>
        <v>-2.750273635460625E-2</v>
      </c>
      <c r="F39" s="62">
        <f>D1_StatmentofCFs!F39/D1_IncomeStatment!F$9</f>
        <v>2.0133342134794376E-2</v>
      </c>
      <c r="G39" s="62">
        <f>D1_StatmentofCFs!G39/D1_IncomeStatment!G$9</f>
        <v>-0.14640879632542628</v>
      </c>
    </row>
    <row r="40" spans="1:7">
      <c r="A40" t="s">
        <v>206</v>
      </c>
      <c r="B40" s="62">
        <f>D1_StatmentofCFs!B40/D1_IncomeStatment!B$9</f>
        <v>0</v>
      </c>
      <c r="C40" s="62">
        <f>D1_StatmentofCFs!C40/D1_IncomeStatment!C$9</f>
        <v>0</v>
      </c>
      <c r="D40" s="62">
        <f>D1_StatmentofCFs!D40/D1_IncomeStatment!D$9</f>
        <v>0</v>
      </c>
      <c r="E40" s="62">
        <f>D1_StatmentofCFs!E40/D1_IncomeStatment!E$9</f>
        <v>0</v>
      </c>
      <c r="F40" s="62">
        <f>D1_StatmentofCFs!F40/D1_IncomeStatment!F$9</f>
        <v>0</v>
      </c>
      <c r="G40" s="62">
        <f>D1_StatmentofCFs!G40/D1_IncomeStatment!G$9</f>
        <v>0</v>
      </c>
    </row>
    <row r="41" spans="1:7">
      <c r="A41" t="s">
        <v>207</v>
      </c>
      <c r="B41" s="62">
        <f>D1_StatmentofCFs!B41/D1_IncomeStatment!B$9</f>
        <v>-0.26861646739681844</v>
      </c>
      <c r="C41" s="62">
        <f>D1_StatmentofCFs!C41/D1_IncomeStatment!C$9</f>
        <v>-0.24692959695554403</v>
      </c>
      <c r="D41" s="62">
        <f>D1_StatmentofCFs!D41/D1_IncomeStatment!D$9</f>
        <v>-0.23817902162993571</v>
      </c>
      <c r="E41" s="62">
        <f>D1_StatmentofCFs!E41/D1_IncomeStatment!E$9</f>
        <v>-0.28885149028515028</v>
      </c>
      <c r="F41" s="62">
        <f>D1_StatmentofCFs!F41/D1_IncomeStatment!F$9</f>
        <v>-0.39726861325646723</v>
      </c>
      <c r="G41" s="62">
        <f>D1_StatmentofCFs!G41/D1_IncomeStatment!G$9</f>
        <v>-0.47594853079972316</v>
      </c>
    </row>
    <row r="42" spans="1:7">
      <c r="A42" t="s">
        <v>208</v>
      </c>
      <c r="B42" s="62">
        <f>D1_StatmentofCFs!B42/D1_IncomeStatment!B$9</f>
        <v>0.26533238637880674</v>
      </c>
      <c r="C42" s="62">
        <f>D1_StatmentofCFs!C42/D1_IncomeStatment!C$9</f>
        <v>0.30980799169693823</v>
      </c>
      <c r="D42" s="62">
        <f>D1_StatmentofCFs!D42/D1_IncomeStatment!D$9</f>
        <v>0.293198858057449</v>
      </c>
      <c r="E42" s="62">
        <f>D1_StatmentofCFs!E42/D1_IncomeStatment!E$9</f>
        <v>0.28768102646513599</v>
      </c>
      <c r="F42" s="62">
        <f>D1_StatmentofCFs!F42/D1_IncomeStatment!F$9</f>
        <v>0.20464130378976245</v>
      </c>
      <c r="G42" s="62">
        <f>D1_StatmentofCFs!G42/D1_IncomeStatment!G$9</f>
        <v>0.51830994777575035</v>
      </c>
    </row>
    <row r="43" spans="1:7">
      <c r="A43" t="s">
        <v>209</v>
      </c>
      <c r="B43" s="62">
        <f>D1_StatmentofCFs!B43/D1_IncomeStatment!B$9</f>
        <v>3.4923398142758734E-3</v>
      </c>
      <c r="C43" s="62">
        <f>D1_StatmentofCFs!C43/D1_IncomeStatment!C$9</f>
        <v>-1.4919564089257915E-3</v>
      </c>
      <c r="D43" s="62">
        <f>D1_StatmentofCFs!D43/D1_IncomeStatment!D$9</f>
        <v>-8.734838896424903E-3</v>
      </c>
      <c r="E43" s="62">
        <f>D1_StatmentofCFs!E43/D1_IncomeStatment!E$9</f>
        <v>3.4544499769070654E-2</v>
      </c>
      <c r="F43" s="62">
        <f>D1_StatmentofCFs!F43/D1_IncomeStatment!F$9</f>
        <v>2.4005984993508922E-2</v>
      </c>
      <c r="G43" s="62">
        <f>D1_StatmentofCFs!G43/D1_IncomeStatment!G$9</f>
        <v>-1.8018939155603094E-2</v>
      </c>
    </row>
    <row r="44" spans="1:7">
      <c r="A44" t="s">
        <v>210</v>
      </c>
      <c r="B44" s="62">
        <f>D1_StatmentofCFs!B44/D1_IncomeStatment!B$9</f>
        <v>0</v>
      </c>
      <c r="C44" s="62">
        <f>D1_StatmentofCFs!C44/D1_IncomeStatment!C$9</f>
        <v>-2.3028022833419823E-3</v>
      </c>
      <c r="D44" s="62">
        <f>D1_StatmentofCFs!D44/D1_IncomeStatment!D$9</f>
        <v>-1.9013456987019767E-3</v>
      </c>
      <c r="E44" s="62">
        <f>D1_StatmentofCFs!E44/D1_IncomeStatment!E$9</f>
        <v>-3.0621864264157865E-3</v>
      </c>
      <c r="F44" s="62">
        <f>D1_StatmentofCFs!F44/D1_IncomeStatment!F$9</f>
        <v>0</v>
      </c>
      <c r="G44" s="62">
        <f>D1_StatmentofCFs!G44/D1_IncomeStatment!G$9</f>
        <v>0</v>
      </c>
    </row>
    <row r="45" spans="1:7">
      <c r="A45" t="s">
        <v>211</v>
      </c>
      <c r="B45" s="62">
        <f>D1_StatmentofCFs!B45/D1_IncomeStatment!B$9</f>
        <v>-1.5961167744450437E-2</v>
      </c>
      <c r="C45" s="62">
        <f>D1_StatmentofCFs!C45/D1_IncomeStatment!C$9</f>
        <v>-1.6854782909531223E-2</v>
      </c>
      <c r="D45" s="62">
        <f>D1_StatmentofCFs!D45/D1_IncomeStatment!D$9</f>
        <v>-2.8349915716466789E-2</v>
      </c>
      <c r="E45" s="62">
        <f>D1_StatmentofCFs!E45/D1_IncomeStatment!E$9</f>
        <v>-1.2710604402209329E-2</v>
      </c>
      <c r="F45" s="62">
        <f>D1_StatmentofCFs!F45/D1_IncomeStatment!F$9</f>
        <v>-2.9558240001173529E-3</v>
      </c>
      <c r="G45" s="62">
        <f>D1_StatmentofCFs!G45/D1_IncomeStatment!G$9</f>
        <v>-4.6875983137230227E-3</v>
      </c>
    </row>
    <row r="46" spans="1:7">
      <c r="A46" t="s">
        <v>185</v>
      </c>
      <c r="B46" s="62">
        <f>D1_StatmentofCFs!B46/D1_IncomeStatment!B$9</f>
        <v>-1.3616921294194919E-3</v>
      </c>
      <c r="C46" s="62">
        <f>D1_StatmentofCFs!C46/D1_IncomeStatment!C$9</f>
        <v>-1.7676440062272963E-3</v>
      </c>
      <c r="D46" s="62">
        <f>D1_StatmentofCFs!D46/D1_IncomeStatment!D$9</f>
        <v>-1.3678337713050042E-3</v>
      </c>
      <c r="E46" s="62">
        <f>D1_StatmentofCFs!E46/D1_IncomeStatment!E$9</f>
        <v>-1.714571325534459E-3</v>
      </c>
      <c r="F46" s="62">
        <f>D1_StatmentofCFs!F46/D1_IncomeStatment!F$9</f>
        <v>-7.7012784122164281E-4</v>
      </c>
      <c r="G46" s="62">
        <f>D1_StatmentofCFs!G46/D1_IncomeStatment!G$9</f>
        <v>-1.4471780028943559E-3</v>
      </c>
    </row>
    <row r="47" spans="1:7">
      <c r="A47" t="s">
        <v>212</v>
      </c>
      <c r="B47" s="62">
        <f>D1_StatmentofCFs!B47/D1_IncomeStatment!B$9</f>
        <v>-1.7114601077605773E-2</v>
      </c>
      <c r="C47" s="62">
        <f>D1_StatmentofCFs!C47/D1_IncomeStatment!C$9</f>
        <v>4.0461209133367933E-2</v>
      </c>
      <c r="D47" s="62">
        <f>D1_StatmentofCFs!D47/D1_IncomeStatment!D$9</f>
        <v>1.4665902344614651E-2</v>
      </c>
      <c r="E47" s="62">
        <f>D1_StatmentofCFs!E47/D1_IncomeStatment!E$9</f>
        <v>1.5886673794896777E-2</v>
      </c>
      <c r="F47" s="62">
        <f>D1_StatmentofCFs!F47/D1_IncomeStatment!F$9</f>
        <v>-0.17234727631453489</v>
      </c>
      <c r="G47" s="62">
        <f>D1_StatmentofCFs!G47/D1_IncomeStatment!G$9</f>
        <v>1.8207701503806708E-2</v>
      </c>
    </row>
    <row r="48" spans="1:7">
      <c r="A48" t="s">
        <v>213</v>
      </c>
      <c r="B48" s="62">
        <f>D1_StatmentofCFs!B48/D1_IncomeStatment!B$9</f>
        <v>0</v>
      </c>
      <c r="C48" s="62">
        <f>D1_StatmentofCFs!C48/D1_IncomeStatment!C$9</f>
        <v>0</v>
      </c>
      <c r="D48" s="62">
        <f>D1_StatmentofCFs!D48/D1_IncomeStatment!D$9</f>
        <v>0</v>
      </c>
      <c r="E48" s="62">
        <f>D1_StatmentofCFs!E48/D1_IncomeStatment!E$9</f>
        <v>0</v>
      </c>
      <c r="F48" s="62">
        <f>D1_StatmentofCFs!F48/D1_IncomeStatment!F$9</f>
        <v>0</v>
      </c>
      <c r="G48" s="62">
        <f>D1_StatmentofCFs!G48/D1_IncomeStatment!G$9</f>
        <v>0</v>
      </c>
    </row>
    <row r="49" spans="1:7">
      <c r="A49" t="s">
        <v>214</v>
      </c>
      <c r="B49" s="62">
        <f>D1_StatmentofCFs!B49/D1_IncomeStatment!B$9</f>
        <v>2.8408635798085088E-3</v>
      </c>
      <c r="C49" s="62">
        <f>D1_StatmentofCFs!C49/D1_IncomeStatment!C$9</f>
        <v>-2.4757827365507698E-3</v>
      </c>
      <c r="D49" s="62">
        <f>D1_StatmentofCFs!D49/D1_IncomeStatment!D$9</f>
        <v>-5.9026851541792711E-4</v>
      </c>
      <c r="E49" s="62">
        <f>D1_StatmentofCFs!E49/D1_IncomeStatment!E$9</f>
        <v>-2.6193082242482141E-3</v>
      </c>
      <c r="F49" s="62">
        <f>D1_StatmentofCFs!F49/D1_IncomeStatment!F$9</f>
        <v>-1.7016158015563916E-3</v>
      </c>
      <c r="G49" s="62">
        <f>D1_StatmentofCFs!G49/D1_IncomeStatment!G$9</f>
        <v>1.7696470144088591E-3</v>
      </c>
    </row>
    <row r="50" spans="1:7">
      <c r="A50" t="s">
        <v>215</v>
      </c>
      <c r="B50" s="62">
        <f>D1_StatmentofCFs!B50/D1_IncomeStatment!B$9</f>
        <v>2.9903827155879038E-3</v>
      </c>
      <c r="C50" s="62">
        <f>D1_StatmentofCFs!C50/D1_IncomeStatment!C$9</f>
        <v>-1.0378827192527244E-2</v>
      </c>
      <c r="D50" s="62">
        <f>D1_StatmentofCFs!D50/D1_IncomeStatment!D$9</f>
        <v>-1.3054015244819543E-3</v>
      </c>
      <c r="E50" s="62">
        <f>D1_StatmentofCFs!E50/D1_IncomeStatment!E$9</f>
        <v>2.9122405208247659E-2</v>
      </c>
      <c r="F50" s="62">
        <f>D1_StatmentofCFs!F50/D1_IncomeStatment!F$9</f>
        <v>-3.8124995415905708E-2</v>
      </c>
      <c r="G50" s="62">
        <f>D1_StatmentofCFs!G50/D1_IncomeStatment!G$9</f>
        <v>6.4446611715849741E-2</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59999389629810485"/>
  </sheetPr>
  <dimension ref="A1:G14"/>
  <sheetViews>
    <sheetView workbookViewId="0">
      <selection activeCell="A5" sqref="A5"/>
    </sheetView>
  </sheetViews>
  <sheetFormatPr defaultColWidth="8.85546875" defaultRowHeight="15"/>
  <cols>
    <col min="1" max="1" width="21.85546875" bestFit="1" customWidth="1"/>
    <col min="2" max="7" width="13.85546875" customWidth="1"/>
  </cols>
  <sheetData>
    <row r="1" spans="1:7">
      <c r="A1" t="s">
        <v>88</v>
      </c>
    </row>
    <row r="2" spans="1:7">
      <c r="A2" s="1"/>
    </row>
    <row r="3" spans="1:7">
      <c r="A3" s="8" t="s">
        <v>216</v>
      </c>
      <c r="B3" s="1">
        <v>2025</v>
      </c>
      <c r="C3" s="1">
        <v>2024</v>
      </c>
      <c r="D3" s="1">
        <v>2023</v>
      </c>
      <c r="E3" s="1">
        <v>2022</v>
      </c>
      <c r="F3" s="1">
        <v>2021</v>
      </c>
      <c r="G3" s="1">
        <v>2020</v>
      </c>
    </row>
    <row r="4" spans="1:7">
      <c r="A4" t="s">
        <v>217</v>
      </c>
      <c r="B4" s="69">
        <f>D1_StatmentofCFs!B27/D1_IncomeStatment!B9</f>
        <v>0.1136452231306103</v>
      </c>
      <c r="C4" s="69">
        <f>D1_StatmentofCFs!C27/D1_IncomeStatment!C9</f>
        <v>8.3371172807472749E-2</v>
      </c>
      <c r="D4" s="69">
        <f>D1_StatmentofCFs!D27/D1_IncomeStatment!D9</f>
        <v>8.4669478009659974E-2</v>
      </c>
      <c r="E4" s="69">
        <f>D1_StatmentofCFs!E27/D1_IncomeStatment!E9</f>
        <v>4.3357775992205347E-2</v>
      </c>
      <c r="F4" s="69">
        <f>D1_StatmentofCFs!F27/D1_IncomeStatment!F9</f>
        <v>0.11579055456539118</v>
      </c>
      <c r="G4" s="69">
        <f>D1_StatmentofCFs!G27/D1_IncomeStatment!G9</f>
        <v>0.19087805952306047</v>
      </c>
    </row>
    <row r="5" spans="1:7">
      <c r="A5" t="s">
        <v>218</v>
      </c>
      <c r="B5" s="69">
        <f>D1_StatmentofCFs!B27/(SUM('D1_Balance Sheet'!$B$19:$G$19)/6)</f>
        <v>7.8442309653370151E-2</v>
      </c>
      <c r="C5" s="69">
        <f>D1_StatmentofCFs!C27/(SUM('D1_Balance Sheet'!$B$19:$G$19)/6)</f>
        <v>5.6846900751053843E-2</v>
      </c>
      <c r="D5" s="69">
        <f>D1_StatmentofCFs!D27/(SUM('D1_Balance Sheet'!$B$19:$G$19)/6)</f>
        <v>5.4985545315711676E-2</v>
      </c>
      <c r="E5" s="69">
        <f>D1_StatmentofCFs!E27/(SUM('D1_Balance Sheet'!$B$19:$G$19)/6)</f>
        <v>2.5259146135445242E-2</v>
      </c>
      <c r="F5" s="69">
        <f>D1_StatmentofCFs!F27/(SUM('D1_Balance Sheet'!$B$19:$G$19)/6)</f>
        <v>5.8188551005439085E-2</v>
      </c>
      <c r="G5" s="69">
        <f>D1_StatmentofCFs!G27/(SUM('D1_Balance Sheet'!$B$19:$G$19)/6)</f>
        <v>8.9451950614493014E-2</v>
      </c>
    </row>
    <row r="6" spans="1:7">
      <c r="A6" t="s">
        <v>219</v>
      </c>
      <c r="B6" s="69">
        <f>D1_StatmentofCFs!B27/(SUM('D1_Balance Sheet'!$B$42:$G$42)/6)</f>
        <v>0.51904996118059754</v>
      </c>
      <c r="C6" s="69">
        <f>D1_StatmentofCFs!C27/(SUM('D1_Balance Sheet'!$B$42:$G$42)/6)</f>
        <v>0.37615391181695124</v>
      </c>
      <c r="D6" s="69">
        <f>D1_StatmentofCFs!D27/(SUM('D1_Balance Sheet'!$B$42:$G$42)/6)</f>
        <v>0.36383738938502747</v>
      </c>
      <c r="E6" s="69">
        <f>D1_StatmentofCFs!E27/(SUM('D1_Balance Sheet'!$B$42:$G$42)/6)</f>
        <v>0.1671388677742052</v>
      </c>
      <c r="F6" s="69">
        <f>D1_StatmentofCFs!F27/(SUM('D1_Balance Sheet'!$B$42:$G$42)/6)</f>
        <v>0.3850315636292686</v>
      </c>
      <c r="G6" s="69">
        <f>D1_StatmentofCFs!G27/(SUM('D1_Balance Sheet'!$B$42:$G$42)/6)</f>
        <v>0.59190036217892694</v>
      </c>
    </row>
    <row r="7" spans="1:7">
      <c r="A7" t="s">
        <v>220</v>
      </c>
      <c r="B7" s="69">
        <f>D1_StatmentofCFs!B27/D1_IncomeStatment!B28</f>
        <v>-2.3210819064238195</v>
      </c>
      <c r="C7" s="69">
        <f>D1_StatmentofCFs!C27/D1_IncomeStatment!C28</f>
        <v>2.9551638244874496</v>
      </c>
      <c r="D7" s="69">
        <f>D1_StatmentofCFs!D27/D1_IncomeStatment!D28</f>
        <v>2.7332356174422867</v>
      </c>
      <c r="E7" s="69">
        <f>D1_StatmentofCFs!E27/D1_IncomeStatment!E28</f>
        <v>1.0919375398342894</v>
      </c>
      <c r="F7" s="69">
        <f>D1_StatmentofCFs!F27/D1_IncomeStatment!F28</f>
        <v>3.4903824894981206</v>
      </c>
      <c r="G7" s="69">
        <f>D1_StatmentofCFs!G27/D1_IncomeStatment!G28</f>
        <v>-5.5056715063520869</v>
      </c>
    </row>
    <row r="8" spans="1:7">
      <c r="A8" t="s">
        <v>221</v>
      </c>
      <c r="B8" s="69">
        <f>D1_StatmentofCFs!$B$27/3979</f>
        <v>5.3485800452374965</v>
      </c>
      <c r="C8" s="69">
        <f>D1_StatmentofCFs!$B$27/3978</f>
        <v>5.3499245852187025</v>
      </c>
      <c r="D8" s="69">
        <f>D1_StatmentofCFs!$B$27/3998</f>
        <v>5.3231615807903951</v>
      </c>
      <c r="E8" s="69">
        <f>D1_StatmentofCFs!$B$27/4014</f>
        <v>5.3019431988041852</v>
      </c>
      <c r="F8" s="69">
        <f>D1_StatmentofCFs!$B$27/3991</f>
        <v>5.3324981207717368</v>
      </c>
      <c r="G8" s="69">
        <f>D1_StatmentofCFs!$B$27/3973</f>
        <v>5.3566574377045058</v>
      </c>
    </row>
    <row r="9" spans="1:7">
      <c r="A9" t="s">
        <v>222</v>
      </c>
      <c r="B9" s="69">
        <f>D1_StatmentofCFs!B27/('D1_Balance Sheet'!B23+'D1_Balance Sheet'!B21+'D1_Balance Sheet'!B28+'D1_Balance Sheet'!B32)</f>
        <v>0.13029583190478522</v>
      </c>
      <c r="C9" s="69">
        <f>D1_StatmentofCFs!C27/('D1_Balance Sheet'!C23+'D1_Balance Sheet'!C21+'D1_Balance Sheet'!C28+'D1_Balance Sheet'!C32)</f>
        <v>9.729248937056055E-2</v>
      </c>
      <c r="D9" s="69">
        <f>D1_StatmentofCFs!D27/('D1_Balance Sheet'!D23+'D1_Balance Sheet'!D21+'D1_Balance Sheet'!D28+'D1_Balance Sheet'!D32)</f>
        <v>9.9965824795116301E-2</v>
      </c>
      <c r="E9" s="69">
        <f>D1_StatmentofCFs!E27/('D1_Balance Sheet'!E23+'D1_Balance Sheet'!E21+'D1_Balance Sheet'!E28+'D1_Balance Sheet'!E32)</f>
        <v>4.9313156171520267E-2</v>
      </c>
      <c r="F9" s="69">
        <f>D1_StatmentofCFs!F27/('D1_Balance Sheet'!F23+'D1_Balance Sheet'!F21+'D1_Balance Sheet'!F28+'D1_Balance Sheet'!F32)</f>
        <v>0.11432233583408162</v>
      </c>
      <c r="G9" s="69">
        <f>D1_StatmentofCFs!G27/('D1_Balance Sheet'!G23+'D1_Balance Sheet'!G21+'D1_Balance Sheet'!G28+'D1_Balance Sheet'!G32)</f>
        <v>0.15010143242374013</v>
      </c>
    </row>
    <row r="10" spans="1:7">
      <c r="A10" t="s">
        <v>223</v>
      </c>
      <c r="B10" s="69">
        <f>(D1_StatmentofCFs!B27+ABS(D3_StatementofCFsDirectMethod!C7)+ABS(D3_StatementofCFsDirectMethod!C8)/ABS(D3_StatementofCFsDirectMethod!C7))</f>
        <v>22582.478461538463</v>
      </c>
      <c r="C10" s="69">
        <f>(D1_StatmentofCFs!C27+ABS(D3_StatementofCFsDirectMethod!D7)+ABS(D3_StatementofCFsDirectMethod!D8)/ABS(D3_StatementofCFsDirectMethod!D7))</f>
        <v>16524.107272727273</v>
      </c>
      <c r="D10" s="69">
        <f>(D1_StatmentofCFs!D27+ABS(D3_StatementofCFsDirectMethod!E7)+ABS(D3_StatementofCFsDirectMethod!E8)/ABS(D3_StatementofCFsDirectMethod!E7))</f>
        <v>16218.79</v>
      </c>
      <c r="E10" s="69">
        <f>(D1_StatmentofCFs!E27+ABS(D3_StatementofCFsDirectMethod!F7)+ABS(D3_StatementofCFsDirectMethod!F8)/ABS(D3_StatementofCFsDirectMethod!F7))</f>
        <v>8053.6674999999996</v>
      </c>
      <c r="F10" s="69">
        <f>(D1_StatmentofCFs!F27+ABS(D3_StatementofCFsDirectMethod!G7)+ABS(D3_StatementofCFsDirectMethod!G8)/ABS(D3_StatementofCFsDirectMethod!G7))</f>
        <v>17687.298947368421</v>
      </c>
      <c r="G10" s="69">
        <f>(D1_StatmentofCFs!G27+ABS(D3_StatementofCFsDirectMethod!H7)+ABS(D3_StatementofCFsDirectMethod!H8)/ABS(D3_StatementofCFsDirectMethod!H7))</f>
        <v>25669.300714285713</v>
      </c>
    </row>
    <row r="11" spans="1:7">
      <c r="A11" t="s">
        <v>224</v>
      </c>
      <c r="B11" s="69">
        <f>D1_StatmentofCFs!B27/ABS((D1_StatmentofCFs!B29+D1_StatmentofCFs!B35))</f>
        <v>0.329636628357238</v>
      </c>
      <c r="C11" s="69">
        <f>D1_StatmentofCFs!C27/ABS((D1_StatmentofCFs!C29+D1_StatmentofCFs!C35))</f>
        <v>0.22546927080287701</v>
      </c>
      <c r="D11" s="69">
        <f>D1_StatmentofCFs!D27/ABS((D1_StatmentofCFs!D29+D1_StatmentofCFs!D35))</f>
        <v>0.23777115442852362</v>
      </c>
      <c r="E11" s="69">
        <f>D1_StatmentofCFs!E27/ABS((D1_StatmentofCFs!E29+D1_StatmentofCFs!E35))</f>
        <v>0.13078493864386725</v>
      </c>
      <c r="F11" s="69">
        <f>D1_StatmentofCFs!F27/ABS((D1_StatmentofCFs!F29+D1_StatmentofCFs!F35))</f>
        <v>0.28910742409259055</v>
      </c>
      <c r="G11" s="69">
        <f>D1_StatmentofCFs!G27/ABS((D1_StatmentofCFs!G29+D1_StatmentofCFs!G35))</f>
        <v>0.39370244796651688</v>
      </c>
    </row>
    <row r="12" spans="1:7">
      <c r="A12" t="s">
        <v>225</v>
      </c>
      <c r="B12" s="69">
        <f>D1_StatmentofCFs!B27/ABS(D1_StatmentofCFs!B41)</f>
        <v>0.42307615847961355</v>
      </c>
      <c r="C12" s="69">
        <f>D1_StatmentofCFs!C27/ABS(D1_StatmentofCFs!C41)</f>
        <v>0.33763134851138354</v>
      </c>
      <c r="D12" s="69">
        <f>D1_StatmentofCFs!D27/ABS(D1_StatmentofCFs!D41)</f>
        <v>0.35548671511974267</v>
      </c>
      <c r="E12" s="69">
        <f>D1_StatmentofCFs!E27/ABS(D1_StatmentofCFs!E41)</f>
        <v>0.15010404117840323</v>
      </c>
      <c r="F12" s="69">
        <f>D1_StatmentofCFs!F27/ABS(D1_StatmentofCFs!F41)</f>
        <v>0.29146665682002804</v>
      </c>
      <c r="G12" s="69">
        <f>D1_StatmentofCFs!G27/ABS(D1_StatmentofCFs!G41)</f>
        <v>0.40104769144330238</v>
      </c>
    </row>
    <row r="13" spans="1:7">
      <c r="A13" t="s">
        <v>226</v>
      </c>
      <c r="B13" s="69">
        <f>D1_StatmentofCFs!B27/ABS(D1_StatmentofCFs!B45)</f>
        <v>7.1201070592171298</v>
      </c>
      <c r="C13" s="69">
        <f>D1_StatmentofCFs!C27/ABS(D1_StatmentofCFs!C45)</f>
        <v>4.9464400256574725</v>
      </c>
      <c r="D13" s="69">
        <f>D1_StatmentofCFs!D27/ABS(D1_StatmentofCFs!D45)</f>
        <v>2.9865865865865864</v>
      </c>
      <c r="E13" s="69">
        <f>D1_StatmentofCFs!E27/ABS(D1_StatmentofCFs!E45)</f>
        <v>3.4111498257839723</v>
      </c>
      <c r="F13" s="69">
        <f>D1_StatmentofCFs!F27/ABS(D1_StatmentofCFs!F45)</f>
        <v>39.173697270471465</v>
      </c>
      <c r="G13" s="69">
        <f>D1_StatmentofCFs!G27/ABS(D1_StatmentofCFs!G45)</f>
        <v>40.719798657718123</v>
      </c>
    </row>
    <row r="14" spans="1:7">
      <c r="A14" s="9" t="s">
        <v>227</v>
      </c>
      <c r="B14" s="70">
        <f>D1_StatmentofCFs!B27/ABS(SUM(D1_StatmentofCFs!B29,D1_StatmentofCFs!B32:B33,D1_StatmentofCFs!B35,D1_StatmentofCFs!B38,D1_StatmentofCFs!B41,D1_StatmentofCFs!B45:B46))</f>
        <v>0.16474558952167889</v>
      </c>
      <c r="C14" s="70">
        <f>D1_StatmentofCFs!C27/ABS(SUM(D1_StatmentofCFs!C29,D1_StatmentofCFs!C32:C33,D1_StatmentofCFs!C35,D1_StatmentofCFs!C38,D1_StatmentofCFs!C41,D1_StatmentofCFs!C45:C46))</f>
        <v>0.11647032170367014</v>
      </c>
      <c r="D14" s="70">
        <f>D1_StatmentofCFs!D27/ABS(SUM(D1_StatmentofCFs!D29,D1_StatmentofCFs!D32:D33,D1_StatmentofCFs!D35,D1_StatmentofCFs!D38,D1_StatmentofCFs!D41,D1_StatmentofCFs!D45:D46))</f>
        <v>0.12287999472830161</v>
      </c>
      <c r="E14" s="70">
        <f>D1_StatmentofCFs!E27/ABS(SUM(D1_StatmentofCFs!E29,D1_StatmentofCFs!E32:E33,D1_StatmentofCFs!E35,D1_StatmentofCFs!E38,D1_StatmentofCFs!E41,D1_StatmentofCFs!E45:E46))</f>
        <v>5.7862474247694959E-2</v>
      </c>
      <c r="F14" s="70">
        <f>D1_StatmentofCFs!F27/ABS(SUM(D1_StatmentofCFs!F29,D1_StatmentofCFs!F32:F33,D1_StatmentofCFs!F35,D1_StatmentofCFs!F38,D1_StatmentofCFs!F41,D1_StatmentofCFs!F45:F46))</f>
        <v>0.11515120570686663</v>
      </c>
      <c r="G14" s="70">
        <f>D1_StatmentofCFs!G27/ABS(SUM(D1_StatmentofCFs!G29,D1_StatmentofCFs!G32:G33,D1_StatmentofCFs!G35,D1_StatmentofCFs!G38,D1_StatmentofCFs!G41,D1_StatmentofCFs!G45:G46))</f>
        <v>0.14899194538578656</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tint="0.59999389629810485"/>
  </sheetPr>
  <dimension ref="A1:P12"/>
  <sheetViews>
    <sheetView workbookViewId="0">
      <selection activeCell="V9" sqref="V9"/>
    </sheetView>
  </sheetViews>
  <sheetFormatPr defaultColWidth="8.85546875" defaultRowHeight="15"/>
  <cols>
    <col min="1" max="1" width="33" customWidth="1"/>
    <col min="2" max="8" width="13.85546875" customWidth="1"/>
    <col min="11" max="11" width="11.42578125" bestFit="1" customWidth="1"/>
    <col min="12" max="12" width="11.85546875" bestFit="1" customWidth="1"/>
    <col min="13" max="13" width="10.85546875" bestFit="1" customWidth="1"/>
    <col min="14" max="16" width="11.85546875" bestFit="1" customWidth="1"/>
  </cols>
  <sheetData>
    <row r="1" spans="1:16">
      <c r="A1" s="1" t="s">
        <v>15</v>
      </c>
      <c r="B1" s="1">
        <v>2025</v>
      </c>
      <c r="C1" s="1">
        <v>2024</v>
      </c>
      <c r="D1" s="1">
        <v>2023</v>
      </c>
      <c r="E1" s="1">
        <v>2022</v>
      </c>
      <c r="F1" s="1">
        <v>2021</v>
      </c>
      <c r="G1" s="1">
        <v>2020</v>
      </c>
      <c r="H1" s="1"/>
    </row>
    <row r="2" spans="1:16">
      <c r="B2" s="9"/>
      <c r="C2" s="9"/>
      <c r="D2" s="9"/>
      <c r="E2" s="9"/>
      <c r="F2" s="9"/>
      <c r="G2" s="9"/>
      <c r="J2" s="1" t="s">
        <v>75</v>
      </c>
      <c r="K2" s="1">
        <v>2020</v>
      </c>
      <c r="L2" s="1">
        <v>2021</v>
      </c>
      <c r="M2" s="1">
        <v>2022</v>
      </c>
      <c r="N2" s="1">
        <v>2023</v>
      </c>
      <c r="O2" s="1">
        <v>2024</v>
      </c>
      <c r="P2" s="1">
        <v>2025</v>
      </c>
    </row>
    <row r="3" spans="1:16">
      <c r="A3" s="1" t="s">
        <v>194</v>
      </c>
      <c r="B3" s="39">
        <f>(D1_StatmentofCFs!B27-D1_StatmentofCFs!C27)/ABS(D1_StatmentofCFs!C27)</f>
        <v>0.37988718148220191</v>
      </c>
      <c r="C3" s="39">
        <f>(D1_StatmentofCFs!C27-D1_StatmentofCFs!D27)/ABS(D1_StatmentofCFs!D27)</f>
        <v>3.3851722751039016E-2</v>
      </c>
      <c r="D3" s="39">
        <f>(D1_StatmentofCFs!D27-D1_StatmentofCFs!E27)/ABS(D1_StatmentofCFs!E27)</f>
        <v>1.1768568510141544</v>
      </c>
      <c r="E3" s="39">
        <f>(D1_StatmentofCFs!E27-D1_StatmentofCFs!F27)/ABS(D1_StatmentofCFs!F27)</f>
        <v>-0.56590865902324694</v>
      </c>
      <c r="F3" s="39">
        <f>(D1_StatmentofCFs!F27-D1_StatmentofCFs!G27)/ABS(D1_StatmentofCFs!G27)</f>
        <v>-0.34949936132514731</v>
      </c>
      <c r="G3" s="63" t="s">
        <v>76</v>
      </c>
      <c r="J3" s="1" t="s">
        <v>228</v>
      </c>
      <c r="K3">
        <f>D1_StatmentofCFs!G27</f>
        <v>24269</v>
      </c>
      <c r="L3">
        <f>D1_StatmentofCFs!F27</f>
        <v>15787</v>
      </c>
      <c r="M3">
        <f>D1_StatmentofCFs!E27</f>
        <v>6853</v>
      </c>
      <c r="N3">
        <f>D1_StatmentofCFs!D27</f>
        <v>14918</v>
      </c>
      <c r="O3">
        <f>D1_StatmentofCFs!C27</f>
        <v>15423</v>
      </c>
      <c r="P3">
        <f>D1_StatmentofCFs!B27</f>
        <v>21282</v>
      </c>
    </row>
    <row r="4" spans="1:16">
      <c r="A4" s="1" t="s">
        <v>205</v>
      </c>
      <c r="B4" s="39">
        <f>(D1_StatmentofCFs!B39-D1_StatmentofCFs!C39)/ABS(D1_StatmentofCFs!C39)</f>
        <v>0.25937628231432086</v>
      </c>
      <c r="C4" s="39">
        <f>(D1_StatmentofCFs!C39-D1_StatmentofCFs!D39)/ABS(D1_StatmentofCFs!D39)</f>
        <v>-0.38245972316768778</v>
      </c>
      <c r="D4" s="39">
        <f>(D1_StatmentofCFs!D39-D1_StatmentofCFs!E39)/ABS(D1_StatmentofCFs!E39)</f>
        <v>-3.0552104899930987</v>
      </c>
      <c r="E4" s="39">
        <f>(D1_StatmentofCFs!E39-D1_StatmentofCFs!F39)/ABS(D1_StatmentofCFs!F39)</f>
        <v>-2.583606557377049</v>
      </c>
      <c r="F4" s="39">
        <f>(D1_StatmentofCFs!F39-D1_StatmentofCFs!G39)/ABS(D1_StatmentofCFs!G39)</f>
        <v>1.1474617244157936</v>
      </c>
      <c r="G4" s="63" t="s">
        <v>76</v>
      </c>
      <c r="J4" s="1" t="s">
        <v>229</v>
      </c>
      <c r="K4">
        <v>0</v>
      </c>
      <c r="L4">
        <f>F3</f>
        <v>-0.34949936132514731</v>
      </c>
      <c r="M4">
        <f>E3</f>
        <v>-0.56590865902324694</v>
      </c>
      <c r="N4">
        <f>D3</f>
        <v>1.1768568510141544</v>
      </c>
      <c r="O4">
        <f>C3</f>
        <v>3.3851722751039016E-2</v>
      </c>
      <c r="P4">
        <f>B3</f>
        <v>0.37988718148220191</v>
      </c>
    </row>
    <row r="5" spans="1:16">
      <c r="A5" s="1" t="s">
        <v>212</v>
      </c>
      <c r="B5" s="39">
        <f>(D1_StatmentofCFs!B47-D1_StatmentofCFs!C47)/ABS(D1_StatmentofCFs!C47)</f>
        <v>-1.428189712758851</v>
      </c>
      <c r="C5" s="39">
        <f>(D1_StatmentofCFs!C47-D1_StatmentofCFs!D47)/ABS(D1_StatmentofCFs!D47)</f>
        <v>1.896671826625387</v>
      </c>
      <c r="D5" s="39">
        <f>(D1_StatmentofCFs!D47-D1_StatmentofCFs!E47)/ABS(D1_StatmentofCFs!E47)</f>
        <v>2.9072082835523694E-2</v>
      </c>
      <c r="E5" s="39">
        <f>(D1_StatmentofCFs!E47-D1_StatmentofCFs!F47)/ABS(D1_StatmentofCFs!F47)</f>
        <v>1.1068601583113455</v>
      </c>
      <c r="F5" s="39">
        <f>(D1_StatmentofCFs!F47-D1_StatmentofCFs!G47)/ABS(D1_StatmentofCFs!G47)</f>
        <v>-11.150323974082074</v>
      </c>
      <c r="G5" s="63" t="s">
        <v>76</v>
      </c>
    </row>
    <row r="6" spans="1:16">
      <c r="J6" s="1" t="s">
        <v>75</v>
      </c>
      <c r="K6" s="1">
        <v>2020</v>
      </c>
      <c r="L6" s="1">
        <v>2021</v>
      </c>
      <c r="M6" s="1">
        <v>2022</v>
      </c>
      <c r="N6" s="1">
        <v>2023</v>
      </c>
      <c r="O6" s="1">
        <v>2024</v>
      </c>
      <c r="P6" s="1">
        <v>2025</v>
      </c>
    </row>
    <row r="7" spans="1:16">
      <c r="J7" s="1" t="s">
        <v>230</v>
      </c>
      <c r="K7">
        <f>D1_StatmentofCFs!G39</f>
        <v>-18615</v>
      </c>
      <c r="L7">
        <f>D1_StatmentofCFs!F39</f>
        <v>2745</v>
      </c>
      <c r="M7">
        <f>D1_StatmentofCFs!E39</f>
        <v>-4347</v>
      </c>
      <c r="N7">
        <f>D1_StatmentofCFs!D39</f>
        <v>-17628</v>
      </c>
      <c r="O7">
        <f>D1_StatmentofCFs!C39</f>
        <v>-24370</v>
      </c>
      <c r="P7">
        <f>D1_StatmentofCFs!B39</f>
        <v>-18049</v>
      </c>
    </row>
    <row r="8" spans="1:16">
      <c r="J8" s="1" t="s">
        <v>231</v>
      </c>
      <c r="K8">
        <v>0</v>
      </c>
      <c r="L8">
        <f>F4</f>
        <v>1.1474617244157936</v>
      </c>
      <c r="M8">
        <f>E4</f>
        <v>-2.583606557377049</v>
      </c>
      <c r="N8">
        <f>D4</f>
        <v>-3.0552104899930987</v>
      </c>
      <c r="O8">
        <f>C4</f>
        <v>-0.38245972316768778</v>
      </c>
      <c r="P8">
        <f>B4</f>
        <v>0.25937628231432086</v>
      </c>
    </row>
    <row r="10" spans="1:16">
      <c r="J10" s="1" t="s">
        <v>75</v>
      </c>
      <c r="K10" s="1">
        <v>2020</v>
      </c>
      <c r="L10" s="1">
        <v>2021</v>
      </c>
      <c r="M10" s="1">
        <v>2022</v>
      </c>
      <c r="N10" s="1">
        <v>2023</v>
      </c>
      <c r="O10" s="1">
        <v>2024</v>
      </c>
      <c r="P10" s="1">
        <v>2025</v>
      </c>
    </row>
    <row r="11" spans="1:16">
      <c r="J11" s="1" t="s">
        <v>232</v>
      </c>
      <c r="K11">
        <f>D1_StatmentofCFs!G47</f>
        <v>2315</v>
      </c>
      <c r="L11">
        <f>D1_StatmentofCFs!F47</f>
        <v>-23498</v>
      </c>
      <c r="M11">
        <f>D1_StatmentofCFs!E47</f>
        <v>2511</v>
      </c>
      <c r="N11">
        <f>D1_StatmentofCFs!D47</f>
        <v>2584</v>
      </c>
      <c r="O11">
        <f>D1_StatmentofCFs!C47</f>
        <v>7485</v>
      </c>
      <c r="P11">
        <f>D1_StatmentofCFs!B47</f>
        <v>-3205</v>
      </c>
    </row>
    <row r="12" spans="1:16">
      <c r="J12" s="1" t="s">
        <v>233</v>
      </c>
      <c r="K12">
        <v>0</v>
      </c>
      <c r="L12">
        <f>F5</f>
        <v>-11.150323974082074</v>
      </c>
      <c r="M12">
        <f>E5</f>
        <v>1.1068601583113455</v>
      </c>
      <c r="N12">
        <f>D5</f>
        <v>2.9072082835523694E-2</v>
      </c>
      <c r="O12">
        <f>C5</f>
        <v>1.896671826625387</v>
      </c>
      <c r="P12">
        <f>B5</f>
        <v>-1.428189712758851</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59999389629810485"/>
  </sheetPr>
  <dimension ref="A1:J48"/>
  <sheetViews>
    <sheetView workbookViewId="0">
      <selection activeCell="K29" sqref="K29"/>
    </sheetView>
  </sheetViews>
  <sheetFormatPr defaultColWidth="8.85546875" defaultRowHeight="15"/>
  <cols>
    <col min="2" max="2" width="60.85546875" bestFit="1" customWidth="1"/>
    <col min="3" max="10" width="13" customWidth="1"/>
  </cols>
  <sheetData>
    <row r="1" spans="1:9">
      <c r="C1" s="1">
        <v>2025</v>
      </c>
      <c r="D1" s="1">
        <v>2024</v>
      </c>
      <c r="E1" s="1">
        <v>2023</v>
      </c>
      <c r="F1" s="1">
        <v>2022</v>
      </c>
      <c r="G1" s="1">
        <v>2021</v>
      </c>
      <c r="H1" s="1">
        <v>2020</v>
      </c>
      <c r="I1" s="1">
        <v>2019</v>
      </c>
    </row>
    <row r="2" spans="1:9">
      <c r="A2" s="1" t="s">
        <v>234</v>
      </c>
    </row>
    <row r="3" spans="1:9">
      <c r="B3" t="s">
        <v>235</v>
      </c>
      <c r="C3">
        <f t="shared" ref="C3:I3" si="0">C19</f>
        <v>184476</v>
      </c>
      <c r="D3">
        <f t="shared" si="0"/>
        <v>182495</v>
      </c>
      <c r="E3">
        <f t="shared" si="0"/>
        <v>173571</v>
      </c>
      <c r="F3">
        <f t="shared" si="0"/>
        <v>156874</v>
      </c>
      <c r="G3">
        <f t="shared" si="0"/>
        <v>135200</v>
      </c>
      <c r="H3">
        <f t="shared" si="0"/>
        <v>127081</v>
      </c>
      <c r="I3">
        <f t="shared" si="0"/>
        <v>155084</v>
      </c>
    </row>
    <row r="4" spans="1:9">
      <c r="B4" t="s">
        <v>236</v>
      </c>
      <c r="C4">
        <f>C26</f>
        <v>-139908</v>
      </c>
      <c r="D4">
        <f t="shared" ref="D4:I4" si="1">D26</f>
        <v>-149982</v>
      </c>
      <c r="E4">
        <f t="shared" si="1"/>
        <v>-141940</v>
      </c>
      <c r="F4">
        <f t="shared" si="1"/>
        <v>-128312</v>
      </c>
      <c r="G4">
        <f t="shared" si="1"/>
        <v>-115828</v>
      </c>
      <c r="H4">
        <f t="shared" si="1"/>
        <v>-106006</v>
      </c>
      <c r="I4">
        <f t="shared" si="1"/>
        <v>-129227</v>
      </c>
    </row>
    <row r="5" spans="1:9">
      <c r="B5" t="s">
        <v>237</v>
      </c>
      <c r="C5" t="s">
        <v>238</v>
      </c>
      <c r="D5" t="s">
        <v>238</v>
      </c>
      <c r="E5" t="s">
        <v>238</v>
      </c>
      <c r="F5" t="s">
        <v>238</v>
      </c>
      <c r="G5" t="s">
        <v>238</v>
      </c>
      <c r="H5" t="s">
        <v>238</v>
      </c>
      <c r="I5" t="s">
        <v>238</v>
      </c>
    </row>
    <row r="6" spans="1:9">
      <c r="B6" t="s">
        <v>239</v>
      </c>
      <c r="C6" t="s">
        <v>238</v>
      </c>
      <c r="D6" t="s">
        <v>238</v>
      </c>
      <c r="E6" t="s">
        <v>238</v>
      </c>
      <c r="F6" t="s">
        <v>238</v>
      </c>
      <c r="G6" t="s">
        <v>238</v>
      </c>
      <c r="H6" t="s">
        <v>238</v>
      </c>
      <c r="I6" t="s">
        <v>238</v>
      </c>
    </row>
    <row r="7" spans="1:9">
      <c r="B7" t="s">
        <v>240</v>
      </c>
      <c r="C7">
        <f t="shared" ref="C7:I7" si="2">C42</f>
        <v>-1300</v>
      </c>
      <c r="D7">
        <f t="shared" si="2"/>
        <v>-1100</v>
      </c>
      <c r="E7">
        <f t="shared" si="2"/>
        <v>-1300</v>
      </c>
      <c r="F7">
        <f t="shared" si="2"/>
        <v>-1200</v>
      </c>
      <c r="G7">
        <f t="shared" si="2"/>
        <v>-1900</v>
      </c>
      <c r="H7">
        <f t="shared" si="2"/>
        <v>-1400</v>
      </c>
      <c r="I7">
        <f t="shared" si="2"/>
        <v>-1000</v>
      </c>
    </row>
    <row r="8" spans="1:9">
      <c r="B8" t="s">
        <v>241</v>
      </c>
      <c r="C8">
        <f t="shared" ref="C8:I8" si="3">C48</f>
        <v>-622</v>
      </c>
      <c r="D8">
        <f t="shared" si="3"/>
        <v>-1218</v>
      </c>
      <c r="E8">
        <f t="shared" si="3"/>
        <v>-1027</v>
      </c>
      <c r="F8">
        <f t="shared" si="3"/>
        <v>-801</v>
      </c>
      <c r="G8">
        <f t="shared" si="3"/>
        <v>-568</v>
      </c>
      <c r="H8">
        <f t="shared" si="3"/>
        <v>-421</v>
      </c>
      <c r="I8">
        <f t="shared" si="3"/>
        <v>-599</v>
      </c>
    </row>
    <row r="9" spans="1:9">
      <c r="A9" s="1" t="s">
        <v>242</v>
      </c>
      <c r="C9">
        <f t="shared" ref="C9:I9" si="4">SUM(C3:C8)</f>
        <v>42646</v>
      </c>
      <c r="D9">
        <f t="shared" si="4"/>
        <v>30195</v>
      </c>
      <c r="E9">
        <f t="shared" si="4"/>
        <v>29304</v>
      </c>
      <c r="F9">
        <f t="shared" si="4"/>
        <v>26561</v>
      </c>
      <c r="G9">
        <f t="shared" si="4"/>
        <v>16904</v>
      </c>
      <c r="H9">
        <f t="shared" si="4"/>
        <v>19254</v>
      </c>
      <c r="I9">
        <f t="shared" si="4"/>
        <v>24258</v>
      </c>
    </row>
    <row r="12" spans="1:9">
      <c r="A12" s="10"/>
      <c r="B12" s="10"/>
      <c r="C12" s="10"/>
      <c r="D12" s="10"/>
      <c r="E12" s="10"/>
      <c r="F12" s="10"/>
      <c r="G12" s="10"/>
      <c r="H12" s="10"/>
      <c r="I12" s="10"/>
    </row>
    <row r="14" spans="1:9">
      <c r="A14" t="s">
        <v>171</v>
      </c>
    </row>
    <row r="15" spans="1:9">
      <c r="A15" t="s">
        <v>243</v>
      </c>
    </row>
    <row r="16" spans="1:9">
      <c r="B16" t="s">
        <v>244</v>
      </c>
    </row>
    <row r="17" spans="1:10">
      <c r="B17" t="s">
        <v>245</v>
      </c>
      <c r="C17">
        <f>D1_IncomeStatment!B9</f>
        <v>187267</v>
      </c>
      <c r="D17">
        <f>D1_IncomeStatment!C9</f>
        <v>184992</v>
      </c>
      <c r="E17">
        <f>D1_IncomeStatment!D9</f>
        <v>176191</v>
      </c>
      <c r="F17">
        <f>D1_IncomeStatment!E9</f>
        <v>158057</v>
      </c>
      <c r="G17">
        <f>D1_IncomeStatment!F9</f>
        <v>136341</v>
      </c>
      <c r="H17">
        <f>D1_IncomeStatment!G9</f>
        <v>127144</v>
      </c>
      <c r="I17">
        <v>155900</v>
      </c>
    </row>
    <row r="18" spans="1:10">
      <c r="B18" t="s">
        <v>246</v>
      </c>
      <c r="C18" s="9">
        <f>D1_StatmentofCFs!B22</f>
        <v>-2791</v>
      </c>
      <c r="D18" s="9">
        <f>D1_StatmentofCFs!C22</f>
        <v>-2497</v>
      </c>
      <c r="E18" s="9">
        <f>D1_StatmentofCFs!D22</f>
        <v>-2620</v>
      </c>
      <c r="F18" s="9">
        <f>D1_StatmentofCFs!E22</f>
        <v>-1183</v>
      </c>
      <c r="G18" s="9">
        <f>D1_StatmentofCFs!F22</f>
        <v>-1141</v>
      </c>
      <c r="H18" s="9">
        <f>D1_StatmentofCFs!G22</f>
        <v>-63</v>
      </c>
      <c r="I18" s="9">
        <v>-816</v>
      </c>
      <c r="J18" t="s">
        <v>247</v>
      </c>
    </row>
    <row r="19" spans="1:10">
      <c r="B19" t="s">
        <v>243</v>
      </c>
      <c r="C19">
        <f>C16+C17+C18</f>
        <v>184476</v>
      </c>
      <c r="D19">
        <f t="shared" ref="D19:I19" si="5">D16+D17+D18</f>
        <v>182495</v>
      </c>
      <c r="E19">
        <f t="shared" si="5"/>
        <v>173571</v>
      </c>
      <c r="F19">
        <f t="shared" si="5"/>
        <v>156874</v>
      </c>
      <c r="G19">
        <f t="shared" si="5"/>
        <v>135200</v>
      </c>
      <c r="H19">
        <f t="shared" si="5"/>
        <v>127081</v>
      </c>
      <c r="I19">
        <f t="shared" si="5"/>
        <v>155084</v>
      </c>
    </row>
    <row r="21" spans="1:10">
      <c r="A21" t="s">
        <v>248</v>
      </c>
    </row>
    <row r="22" spans="1:10">
      <c r="B22" t="s">
        <v>249</v>
      </c>
      <c r="C22">
        <f>D1_IncomeStatment!B11</f>
        <v>-150550</v>
      </c>
      <c r="D22">
        <f>D1_IncomeStatment!C11</f>
        <v>-158434</v>
      </c>
      <c r="E22">
        <f>D1_IncomeStatment!D11</f>
        <v>-150550</v>
      </c>
      <c r="F22">
        <f>D1_IncomeStatment!E11</f>
        <v>-134397</v>
      </c>
      <c r="G22">
        <f>D1_IncomeStatment!F11</f>
        <v>-114651</v>
      </c>
      <c r="H22">
        <f>D1_IncomeStatment!G11</f>
        <v>-112752</v>
      </c>
      <c r="I22">
        <v>-134693</v>
      </c>
    </row>
    <row r="23" spans="1:10">
      <c r="B23" t="s">
        <v>250</v>
      </c>
      <c r="C23" s="9">
        <v>539</v>
      </c>
      <c r="D23" s="9">
        <v>27</v>
      </c>
      <c r="E23" s="9">
        <v>-1219</v>
      </c>
      <c r="F23" s="9">
        <v>-1183</v>
      </c>
      <c r="G23" s="9">
        <v>-1141</v>
      </c>
      <c r="H23" s="9">
        <v>-63</v>
      </c>
      <c r="I23" s="9">
        <v>206</v>
      </c>
    </row>
    <row r="24" spans="1:10">
      <c r="B24" t="s">
        <v>251</v>
      </c>
      <c r="C24">
        <f>C22+C23</f>
        <v>-150011</v>
      </c>
      <c r="D24">
        <f t="shared" ref="D24:I24" si="6">D22+D23</f>
        <v>-158407</v>
      </c>
      <c r="E24">
        <f t="shared" si="6"/>
        <v>-151769</v>
      </c>
      <c r="F24">
        <f t="shared" si="6"/>
        <v>-135580</v>
      </c>
      <c r="G24">
        <f t="shared" si="6"/>
        <v>-115792</v>
      </c>
      <c r="H24">
        <f t="shared" si="6"/>
        <v>-112815</v>
      </c>
      <c r="I24">
        <f t="shared" si="6"/>
        <v>-134487</v>
      </c>
    </row>
    <row r="25" spans="1:10">
      <c r="B25" t="s">
        <v>252</v>
      </c>
      <c r="C25" s="9">
        <f>D1_StatmentofCFs!B25</f>
        <v>10103</v>
      </c>
      <c r="D25" s="9">
        <f>D1_StatmentofCFs!C25</f>
        <v>8425</v>
      </c>
      <c r="E25" s="9">
        <f>D1_StatmentofCFs!D25</f>
        <v>9829</v>
      </c>
      <c r="F25" s="9">
        <f>D1_StatmentofCFs!E25</f>
        <v>7268</v>
      </c>
      <c r="G25" s="9">
        <f>D1_StatmentofCFs!F25</f>
        <v>-36</v>
      </c>
      <c r="H25" s="9">
        <f>D1_StatmentofCFs!G25</f>
        <v>6809</v>
      </c>
      <c r="I25" s="9">
        <v>5260</v>
      </c>
    </row>
    <row r="26" spans="1:10">
      <c r="B26" t="s">
        <v>248</v>
      </c>
      <c r="C26">
        <f>C24+C25</f>
        <v>-139908</v>
      </c>
      <c r="D26">
        <f t="shared" ref="D26:I26" si="7">D24+D25</f>
        <v>-149982</v>
      </c>
      <c r="E26">
        <f t="shared" si="7"/>
        <v>-141940</v>
      </c>
      <c r="F26">
        <f t="shared" si="7"/>
        <v>-128312</v>
      </c>
      <c r="G26">
        <f t="shared" si="7"/>
        <v>-115828</v>
      </c>
      <c r="H26">
        <f t="shared" si="7"/>
        <v>-106006</v>
      </c>
      <c r="I26">
        <f t="shared" si="7"/>
        <v>-129227</v>
      </c>
    </row>
    <row r="28" spans="1:10">
      <c r="A28" t="s">
        <v>253</v>
      </c>
    </row>
    <row r="29" spans="1:10">
      <c r="B29" t="s">
        <v>254</v>
      </c>
    </row>
    <row r="30" spans="1:10">
      <c r="B30" t="s">
        <v>255</v>
      </c>
      <c r="C30" s="9"/>
      <c r="D30" s="9"/>
      <c r="E30" s="9"/>
      <c r="F30" s="9"/>
      <c r="G30" s="9"/>
      <c r="H30" s="9"/>
      <c r="I30" s="9"/>
    </row>
    <row r="31" spans="1:10">
      <c r="B31" t="s">
        <v>253</v>
      </c>
      <c r="C31" t="s">
        <v>238</v>
      </c>
      <c r="D31" t="s">
        <v>238</v>
      </c>
      <c r="E31" t="s">
        <v>238</v>
      </c>
      <c r="F31" t="s">
        <v>238</v>
      </c>
      <c r="G31" t="s">
        <v>238</v>
      </c>
      <c r="H31" t="s">
        <v>238</v>
      </c>
      <c r="I31" t="s">
        <v>238</v>
      </c>
    </row>
    <row r="33" spans="1:10">
      <c r="A33" t="s">
        <v>256</v>
      </c>
    </row>
    <row r="34" spans="1:10">
      <c r="B34" t="s">
        <v>257</v>
      </c>
    </row>
    <row r="35" spans="1:10">
      <c r="B35" t="s">
        <v>258</v>
      </c>
    </row>
    <row r="36" spans="1:10">
      <c r="B36" t="s">
        <v>259</v>
      </c>
      <c r="C36" s="9"/>
      <c r="D36" s="9"/>
      <c r="E36" s="9"/>
      <c r="F36" s="9"/>
      <c r="G36" s="9"/>
      <c r="H36" s="9"/>
      <c r="I36" s="9"/>
    </row>
    <row r="37" spans="1:10">
      <c r="B37" t="s">
        <v>260</v>
      </c>
      <c r="C37" t="s">
        <v>238</v>
      </c>
      <c r="D37" t="s">
        <v>238</v>
      </c>
      <c r="E37" t="s">
        <v>238</v>
      </c>
      <c r="F37" t="s">
        <v>238</v>
      </c>
      <c r="G37" t="s">
        <v>238</v>
      </c>
      <c r="H37" t="s">
        <v>238</v>
      </c>
      <c r="I37" t="s">
        <v>238</v>
      </c>
    </row>
    <row r="39" spans="1:10">
      <c r="A39" t="s">
        <v>261</v>
      </c>
    </row>
    <row r="40" spans="1:10">
      <c r="B40" t="s">
        <v>123</v>
      </c>
    </row>
    <row r="41" spans="1:10">
      <c r="B41" t="s">
        <v>262</v>
      </c>
      <c r="C41" s="9"/>
      <c r="D41" s="9"/>
      <c r="E41" s="9"/>
      <c r="F41" s="9"/>
      <c r="G41" s="9"/>
      <c r="H41" s="9"/>
      <c r="I41" s="9"/>
    </row>
    <row r="42" spans="1:10">
      <c r="B42" t="s">
        <v>261</v>
      </c>
      <c r="C42">
        <v>-1300</v>
      </c>
      <c r="D42">
        <v>-1100</v>
      </c>
      <c r="E42">
        <v>-1300</v>
      </c>
      <c r="F42">
        <v>-1200</v>
      </c>
      <c r="G42">
        <v>-1900</v>
      </c>
      <c r="H42">
        <v>-1400</v>
      </c>
      <c r="I42">
        <v>-1000</v>
      </c>
      <c r="J42" t="s">
        <v>263</v>
      </c>
    </row>
    <row r="43" spans="1:10">
      <c r="J43" t="s">
        <v>264</v>
      </c>
    </row>
    <row r="45" spans="1:10">
      <c r="A45" t="s">
        <v>265</v>
      </c>
    </row>
    <row r="46" spans="1:10">
      <c r="B46" t="s">
        <v>266</v>
      </c>
    </row>
    <row r="47" spans="1:10">
      <c r="B47" t="s">
        <v>267</v>
      </c>
      <c r="C47" s="9"/>
      <c r="D47" s="9"/>
      <c r="E47" s="9"/>
      <c r="F47" s="9"/>
      <c r="G47" s="9"/>
      <c r="H47" s="9"/>
      <c r="I47" s="9"/>
    </row>
    <row r="48" spans="1:10">
      <c r="B48" t="s">
        <v>268</v>
      </c>
      <c r="C48">
        <v>-622</v>
      </c>
      <c r="D48">
        <v>-1218</v>
      </c>
      <c r="E48">
        <v>-1027</v>
      </c>
      <c r="F48">
        <v>-801</v>
      </c>
      <c r="G48">
        <v>-568</v>
      </c>
      <c r="H48">
        <v>-421</v>
      </c>
      <c r="I48">
        <v>-599</v>
      </c>
      <c r="J48" t="s">
        <v>269</v>
      </c>
    </row>
  </sheetData>
  <pageMargins left="0.7" right="0.7" top="0.75" bottom="0.75" header="0.3" footer="0.3"/>
  <pageSetup orientation="portrait"/>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I8"/>
  <sheetViews>
    <sheetView topLeftCell="A6" workbookViewId="0">
      <selection activeCell="F7" sqref="F7"/>
    </sheetView>
  </sheetViews>
  <sheetFormatPr defaultColWidth="8.85546875" defaultRowHeight="15"/>
  <cols>
    <col min="1" max="1" width="42.85546875" bestFit="1" customWidth="1"/>
    <col min="2" max="4" width="15.140625" customWidth="1"/>
    <col min="5" max="5" width="25.140625" bestFit="1" customWidth="1"/>
    <col min="6" max="6" width="32.42578125" bestFit="1" customWidth="1"/>
    <col min="7" max="7" width="41.28515625" bestFit="1" customWidth="1"/>
    <col min="8" max="8" width="15.140625" customWidth="1"/>
  </cols>
  <sheetData>
    <row r="1" spans="1:9">
      <c r="A1" s="33"/>
      <c r="B1" s="33" t="s">
        <v>270</v>
      </c>
      <c r="C1" s="33" t="s">
        <v>271</v>
      </c>
      <c r="D1" s="33" t="s">
        <v>272</v>
      </c>
      <c r="E1" s="33" t="s">
        <v>273</v>
      </c>
      <c r="F1" s="33" t="s">
        <v>274</v>
      </c>
      <c r="G1" s="33" t="s">
        <v>275</v>
      </c>
      <c r="H1" s="33" t="s">
        <v>276</v>
      </c>
      <c r="I1" s="33" t="s">
        <v>277</v>
      </c>
    </row>
    <row r="2" spans="1:9">
      <c r="A2" s="81" t="s">
        <v>278</v>
      </c>
      <c r="B2" s="81"/>
      <c r="C2" s="81"/>
      <c r="D2" s="81"/>
      <c r="E2" s="34"/>
      <c r="F2" s="34"/>
      <c r="G2" s="34"/>
      <c r="H2" s="34"/>
      <c r="I2" s="34"/>
    </row>
    <row r="3" spans="1:9">
      <c r="A3" s="34" t="s">
        <v>279</v>
      </c>
      <c r="B3" s="34">
        <v>44858</v>
      </c>
      <c r="C3" s="34">
        <v>44835</v>
      </c>
      <c r="D3" s="34">
        <v>42</v>
      </c>
      <c r="E3" s="34">
        <v>23502</v>
      </c>
      <c r="F3" s="34">
        <v>33740</v>
      </c>
      <c r="G3" s="34">
        <v>-9639</v>
      </c>
      <c r="H3" s="34">
        <v>-2810</v>
      </c>
      <c r="I3" s="34">
        <v>23</v>
      </c>
    </row>
    <row r="4" spans="1:9">
      <c r="A4" s="34" t="s">
        <v>162</v>
      </c>
      <c r="B4" s="34">
        <v>-8162</v>
      </c>
      <c r="C4" s="34">
        <v>-8182</v>
      </c>
      <c r="D4" s="34"/>
      <c r="E4" s="34"/>
      <c r="F4" s="34">
        <v>-8182</v>
      </c>
      <c r="G4" s="34"/>
      <c r="H4" s="34"/>
      <c r="I4" s="34">
        <v>20</v>
      </c>
    </row>
    <row r="5" spans="1:9">
      <c r="A5" s="34" t="s">
        <v>280</v>
      </c>
      <c r="B5" s="34">
        <v>1928</v>
      </c>
      <c r="C5" s="34">
        <v>1929</v>
      </c>
      <c r="D5" s="34"/>
      <c r="E5" s="34"/>
      <c r="F5" s="34"/>
      <c r="G5" s="34">
        <v>1929</v>
      </c>
      <c r="H5" s="34"/>
      <c r="I5" s="34">
        <v>-1</v>
      </c>
    </row>
    <row r="6" spans="1:9">
      <c r="A6" s="34" t="s">
        <v>281</v>
      </c>
      <c r="B6" s="34">
        <v>420</v>
      </c>
      <c r="C6" s="34">
        <v>420</v>
      </c>
      <c r="D6" s="34"/>
      <c r="E6" s="34">
        <v>420</v>
      </c>
      <c r="F6" s="34"/>
      <c r="G6" s="34"/>
      <c r="H6" s="34"/>
      <c r="I6" s="34"/>
    </row>
    <row r="7" spans="1:9">
      <c r="A7" s="34" t="s">
        <v>282</v>
      </c>
      <c r="B7" s="34">
        <v>-3064</v>
      </c>
      <c r="C7" s="34">
        <v>-3050</v>
      </c>
      <c r="D7" s="34"/>
      <c r="E7" s="34"/>
      <c r="F7" s="34">
        <v>-3050</v>
      </c>
      <c r="G7" s="34"/>
      <c r="H7" s="34"/>
      <c r="I7" s="34">
        <v>-14</v>
      </c>
    </row>
    <row r="8" spans="1:9">
      <c r="A8" s="34" t="s">
        <v>283</v>
      </c>
      <c r="B8" s="34">
        <v>35980</v>
      </c>
      <c r="C8" s="34">
        <v>35952</v>
      </c>
      <c r="D8" s="34">
        <v>42</v>
      </c>
      <c r="E8" s="34">
        <v>23922</v>
      </c>
      <c r="F8" s="34">
        <v>22508</v>
      </c>
      <c r="G8" s="34">
        <v>-7710</v>
      </c>
      <c r="H8" s="34">
        <v>-2810</v>
      </c>
      <c r="I8" s="34">
        <v>28</v>
      </c>
    </row>
  </sheetData>
  <mergeCells count="1">
    <mergeCell ref="A2:D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L9"/>
  <sheetViews>
    <sheetView workbookViewId="0">
      <selection sqref="A1:XFD1"/>
    </sheetView>
  </sheetViews>
  <sheetFormatPr defaultColWidth="8.85546875" defaultRowHeight="15"/>
  <cols>
    <col min="1" max="1" width="42.85546875" bestFit="1" customWidth="1"/>
    <col min="3" max="3" width="14.7109375" bestFit="1" customWidth="1"/>
    <col min="4" max="4" width="12.7109375" bestFit="1" customWidth="1"/>
    <col min="5" max="5" width="25.140625" bestFit="1" customWidth="1"/>
    <col min="6" max="6" width="32.42578125" bestFit="1" customWidth="1"/>
    <col min="7" max="7" width="41.28515625" bestFit="1" customWidth="1"/>
    <col min="8" max="8" width="14.28515625" bestFit="1" customWidth="1"/>
  </cols>
  <sheetData>
    <row r="1" spans="1:12" s="1" customFormat="1">
      <c r="A1" s="33"/>
      <c r="B1" s="33" t="s">
        <v>270</v>
      </c>
      <c r="C1" s="33" t="s">
        <v>271</v>
      </c>
      <c r="D1" s="33" t="s">
        <v>272</v>
      </c>
      <c r="E1" s="33" t="s">
        <v>273</v>
      </c>
      <c r="F1" s="33" t="s">
        <v>274</v>
      </c>
      <c r="G1" s="33" t="s">
        <v>275</v>
      </c>
      <c r="H1" s="33" t="s">
        <v>276</v>
      </c>
      <c r="I1" s="82" t="s">
        <v>277</v>
      </c>
      <c r="J1" s="82"/>
      <c r="K1" s="82"/>
      <c r="L1" s="82"/>
    </row>
    <row r="2" spans="1:12">
      <c r="A2" s="81" t="s">
        <v>284</v>
      </c>
      <c r="B2" s="81"/>
      <c r="C2" s="81"/>
      <c r="D2" s="81"/>
      <c r="E2" s="81"/>
      <c r="F2" s="81"/>
      <c r="G2" s="81"/>
      <c r="H2" s="34"/>
      <c r="I2" s="34"/>
      <c r="J2" s="34"/>
      <c r="K2" s="34"/>
      <c r="L2" s="34"/>
    </row>
    <row r="3" spans="1:12">
      <c r="A3" s="34" t="s">
        <v>285</v>
      </c>
      <c r="B3" s="34">
        <v>42798</v>
      </c>
      <c r="C3" s="34">
        <v>42773</v>
      </c>
      <c r="D3" s="34">
        <v>42</v>
      </c>
      <c r="E3" s="34">
        <v>23128</v>
      </c>
      <c r="F3" s="34">
        <v>31029</v>
      </c>
      <c r="G3" s="34">
        <v>-9042</v>
      </c>
      <c r="H3" s="34">
        <v>-2384</v>
      </c>
      <c r="I3" s="34">
        <v>25</v>
      </c>
      <c r="J3" s="34"/>
      <c r="K3" s="34"/>
      <c r="L3" s="34"/>
    </row>
    <row r="4" spans="1:12">
      <c r="A4" s="34" t="s">
        <v>162</v>
      </c>
      <c r="B4" s="34">
        <v>5894</v>
      </c>
      <c r="C4" s="34">
        <v>5879</v>
      </c>
      <c r="D4" s="34"/>
      <c r="E4" s="34"/>
      <c r="F4" s="34">
        <v>5879</v>
      </c>
      <c r="G4" s="34"/>
      <c r="H4" s="34"/>
      <c r="I4" s="34">
        <v>15</v>
      </c>
      <c r="J4" s="34"/>
      <c r="K4" s="34"/>
      <c r="L4" s="34"/>
    </row>
    <row r="5" spans="1:12">
      <c r="A5" s="34" t="s">
        <v>280</v>
      </c>
      <c r="B5" s="34">
        <v>-598</v>
      </c>
      <c r="C5" s="34">
        <v>-597</v>
      </c>
      <c r="D5" s="34"/>
      <c r="E5" s="34"/>
      <c r="F5" s="34"/>
      <c r="G5" s="34">
        <v>-597</v>
      </c>
      <c r="H5" s="34"/>
      <c r="I5" s="34">
        <v>-1</v>
      </c>
      <c r="J5" s="34"/>
      <c r="K5" s="34"/>
      <c r="L5" s="34"/>
    </row>
    <row r="6" spans="1:12">
      <c r="A6" s="34" t="s">
        <v>281</v>
      </c>
      <c r="B6" s="34">
        <v>374</v>
      </c>
      <c r="C6" s="34">
        <v>374</v>
      </c>
      <c r="D6" s="34"/>
      <c r="E6" s="34">
        <v>374</v>
      </c>
      <c r="F6" s="34"/>
      <c r="G6" s="34"/>
      <c r="H6" s="34"/>
      <c r="I6" s="34"/>
      <c r="J6" s="34"/>
      <c r="K6" s="34"/>
      <c r="L6" s="34"/>
    </row>
    <row r="7" spans="1:12">
      <c r="A7" s="34" t="s">
        <v>286</v>
      </c>
      <c r="B7" s="34">
        <v>-426</v>
      </c>
      <c r="C7" s="34">
        <v>-426</v>
      </c>
      <c r="D7" s="34"/>
      <c r="E7" s="34"/>
      <c r="F7" s="34"/>
      <c r="G7" s="34"/>
      <c r="H7" s="34">
        <v>-426</v>
      </c>
      <c r="I7" s="34"/>
      <c r="J7" s="34"/>
      <c r="K7" s="34"/>
      <c r="L7" s="34"/>
    </row>
    <row r="8" spans="1:12">
      <c r="A8" s="34" t="s">
        <v>282</v>
      </c>
      <c r="B8" s="34">
        <v>-3184</v>
      </c>
      <c r="C8" s="34">
        <v>-3168</v>
      </c>
      <c r="D8" s="34"/>
      <c r="E8" s="34"/>
      <c r="F8" s="34">
        <v>-3168</v>
      </c>
      <c r="G8" s="34"/>
      <c r="H8" s="34"/>
      <c r="I8" s="34">
        <v>-16</v>
      </c>
      <c r="J8" s="34"/>
      <c r="K8" s="34"/>
      <c r="L8" s="34"/>
    </row>
    <row r="9" spans="1:12">
      <c r="A9" s="34" t="s">
        <v>287</v>
      </c>
      <c r="B9" s="34">
        <v>44858</v>
      </c>
      <c r="C9" s="34">
        <v>44835</v>
      </c>
      <c r="D9" s="34">
        <v>42</v>
      </c>
      <c r="E9" s="34">
        <v>23502</v>
      </c>
      <c r="F9" s="34">
        <v>33740</v>
      </c>
      <c r="G9" s="34">
        <v>-9639</v>
      </c>
      <c r="H9" s="34">
        <v>-2810</v>
      </c>
      <c r="I9" s="34">
        <v>23</v>
      </c>
      <c r="J9" s="34"/>
      <c r="K9" s="34"/>
      <c r="L9" s="34"/>
    </row>
  </sheetData>
  <mergeCells count="2">
    <mergeCell ref="I1:L1"/>
    <mergeCell ref="A2:G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K9"/>
  <sheetViews>
    <sheetView workbookViewId="0">
      <selection sqref="A1:XFD1"/>
    </sheetView>
  </sheetViews>
  <sheetFormatPr defaultColWidth="8.85546875" defaultRowHeight="15"/>
  <cols>
    <col min="1" max="1" width="42.85546875" bestFit="1" customWidth="1"/>
    <col min="3" max="3" width="14.7109375" bestFit="1" customWidth="1"/>
    <col min="4" max="4" width="12.7109375" bestFit="1" customWidth="1"/>
    <col min="5" max="5" width="25.140625" bestFit="1" customWidth="1"/>
    <col min="6" max="6" width="32.42578125" bestFit="1" customWidth="1"/>
    <col min="7" max="7" width="41.28515625" bestFit="1" customWidth="1"/>
    <col min="8" max="8" width="14.28515625" bestFit="1" customWidth="1"/>
  </cols>
  <sheetData>
    <row r="1" spans="1:11" s="1" customFormat="1">
      <c r="A1" s="33"/>
      <c r="B1" s="33" t="s">
        <v>270</v>
      </c>
      <c r="C1" s="33" t="s">
        <v>271</v>
      </c>
      <c r="D1" s="33" t="s">
        <v>272</v>
      </c>
      <c r="E1" s="33" t="s">
        <v>273</v>
      </c>
      <c r="F1" s="33" t="s">
        <v>274</v>
      </c>
      <c r="G1" s="33" t="s">
        <v>275</v>
      </c>
      <c r="H1" s="33" t="s">
        <v>276</v>
      </c>
      <c r="I1" s="82" t="s">
        <v>277</v>
      </c>
      <c r="J1" s="82"/>
      <c r="K1" s="82"/>
    </row>
    <row r="2" spans="1:11">
      <c r="A2" s="81" t="s">
        <v>288</v>
      </c>
      <c r="B2" s="81"/>
      <c r="C2" s="81"/>
      <c r="D2" s="81"/>
      <c r="E2" s="81"/>
      <c r="F2" s="81"/>
      <c r="G2" s="81"/>
      <c r="H2" s="34"/>
      <c r="I2" s="34"/>
      <c r="J2" s="34"/>
      <c r="K2" s="34"/>
    </row>
    <row r="3" spans="1:11">
      <c r="A3" s="34" t="s">
        <v>289</v>
      </c>
      <c r="B3" s="34">
        <v>43167</v>
      </c>
      <c r="C3" s="34">
        <v>43242</v>
      </c>
      <c r="D3" s="34">
        <v>42</v>
      </c>
      <c r="E3" s="34">
        <v>22832</v>
      </c>
      <c r="F3" s="34">
        <v>31754</v>
      </c>
      <c r="G3" s="34">
        <v>-9339</v>
      </c>
      <c r="H3" s="34">
        <v>-2047</v>
      </c>
      <c r="I3" s="34">
        <v>-75</v>
      </c>
      <c r="J3" s="34"/>
      <c r="K3" s="34"/>
    </row>
    <row r="4" spans="1:11">
      <c r="A4" s="34" t="s">
        <v>162</v>
      </c>
      <c r="B4" s="34">
        <v>4329</v>
      </c>
      <c r="C4" s="34">
        <v>4347</v>
      </c>
      <c r="D4" s="34"/>
      <c r="E4" s="34"/>
      <c r="F4" s="34">
        <v>4347</v>
      </c>
      <c r="G4" s="34"/>
      <c r="H4" s="34"/>
      <c r="I4" s="34">
        <v>-18</v>
      </c>
      <c r="J4" s="34"/>
      <c r="K4" s="34"/>
    </row>
    <row r="5" spans="1:11">
      <c r="A5" s="34" t="s">
        <v>280</v>
      </c>
      <c r="B5" s="34">
        <v>298</v>
      </c>
      <c r="C5" s="34">
        <v>297</v>
      </c>
      <c r="D5" s="34"/>
      <c r="E5" s="34"/>
      <c r="F5" s="34"/>
      <c r="G5" s="34">
        <v>297</v>
      </c>
      <c r="H5" s="34"/>
      <c r="I5" s="34">
        <v>1</v>
      </c>
      <c r="J5" s="34"/>
      <c r="K5" s="34"/>
    </row>
    <row r="6" spans="1:11">
      <c r="A6" s="34" t="s">
        <v>281</v>
      </c>
      <c r="B6" s="34">
        <v>425</v>
      </c>
      <c r="C6" s="34">
        <v>425</v>
      </c>
      <c r="D6" s="34"/>
      <c r="E6" s="34">
        <v>425</v>
      </c>
      <c r="F6" s="34"/>
      <c r="G6" s="34"/>
      <c r="H6" s="34"/>
      <c r="I6" s="34"/>
      <c r="J6" s="34"/>
      <c r="K6" s="34"/>
    </row>
    <row r="7" spans="1:11">
      <c r="A7" s="34" t="s">
        <v>286</v>
      </c>
      <c r="B7" s="34">
        <v>-337</v>
      </c>
      <c r="C7" s="34">
        <v>-466</v>
      </c>
      <c r="D7" s="34"/>
      <c r="E7" s="34">
        <v>-129</v>
      </c>
      <c r="F7" s="34"/>
      <c r="G7" s="34"/>
      <c r="H7" s="34">
        <v>-337</v>
      </c>
      <c r="I7" s="34">
        <v>129</v>
      </c>
      <c r="J7" s="34"/>
      <c r="K7" s="34"/>
    </row>
    <row r="8" spans="1:11">
      <c r="A8" s="34" t="s">
        <v>282</v>
      </c>
      <c r="B8" s="34">
        <v>-5084</v>
      </c>
      <c r="C8" s="34">
        <v>-5072</v>
      </c>
      <c r="D8" s="34"/>
      <c r="E8" s="34"/>
      <c r="F8" s="34">
        <v>-5072</v>
      </c>
      <c r="G8" s="34"/>
      <c r="H8" s="34"/>
      <c r="I8" s="34">
        <v>-12</v>
      </c>
      <c r="J8" s="34"/>
      <c r="K8" s="34"/>
    </row>
    <row r="9" spans="1:11">
      <c r="A9" s="34" t="s">
        <v>290</v>
      </c>
      <c r="B9" s="34">
        <v>42798</v>
      </c>
      <c r="C9" s="34">
        <v>42773</v>
      </c>
      <c r="D9" s="34">
        <v>42</v>
      </c>
      <c r="E9" s="34">
        <v>23128</v>
      </c>
      <c r="F9" s="34">
        <v>31029</v>
      </c>
      <c r="G9" s="34">
        <v>-9042</v>
      </c>
      <c r="H9" s="34">
        <v>-2384</v>
      </c>
      <c r="I9" s="34">
        <v>25</v>
      </c>
      <c r="J9" s="34"/>
      <c r="K9" s="34"/>
    </row>
  </sheetData>
  <mergeCells count="2">
    <mergeCell ref="I1:K1"/>
    <mergeCell ref="A2:G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I9"/>
  <sheetViews>
    <sheetView workbookViewId="0">
      <selection sqref="A1:XFD1"/>
    </sheetView>
  </sheetViews>
  <sheetFormatPr defaultColWidth="8.85546875" defaultRowHeight="15"/>
  <cols>
    <col min="1" max="1" width="42.85546875" bestFit="1" customWidth="1"/>
    <col min="3" max="3" width="14.7109375" bestFit="1" customWidth="1"/>
    <col min="4" max="4" width="12.7109375" bestFit="1" customWidth="1"/>
    <col min="5" max="5" width="25.140625" bestFit="1" customWidth="1"/>
    <col min="6" max="6" width="32.42578125" bestFit="1" customWidth="1"/>
    <col min="7" max="7" width="41.28515625" bestFit="1" customWidth="1"/>
    <col min="8" max="8" width="14.28515625" bestFit="1" customWidth="1"/>
  </cols>
  <sheetData>
    <row r="1" spans="1:9" s="1" customFormat="1">
      <c r="A1" s="33"/>
      <c r="B1" s="33" t="s">
        <v>270</v>
      </c>
      <c r="C1" s="33" t="s">
        <v>271</v>
      </c>
      <c r="D1" s="33" t="s">
        <v>272</v>
      </c>
      <c r="E1" s="33" t="s">
        <v>273</v>
      </c>
      <c r="F1" s="33" t="s">
        <v>274</v>
      </c>
      <c r="G1" s="33" t="s">
        <v>275</v>
      </c>
      <c r="H1" s="33" t="s">
        <v>276</v>
      </c>
      <c r="I1" s="33" t="s">
        <v>277</v>
      </c>
    </row>
    <row r="2" spans="1:9">
      <c r="A2" s="81" t="s">
        <v>291</v>
      </c>
      <c r="B2" s="81"/>
      <c r="C2" s="81"/>
      <c r="D2" s="81"/>
      <c r="E2" s="81"/>
      <c r="F2" s="81"/>
      <c r="G2" s="81"/>
      <c r="H2" s="34"/>
      <c r="I2" s="34"/>
    </row>
    <row r="3" spans="1:9">
      <c r="A3" s="34" t="s">
        <v>292</v>
      </c>
      <c r="B3" s="34">
        <v>48622</v>
      </c>
      <c r="C3" s="34">
        <v>48519</v>
      </c>
      <c r="D3" s="34">
        <v>41</v>
      </c>
      <c r="E3" s="34">
        <v>22611</v>
      </c>
      <c r="F3" s="34">
        <v>35769</v>
      </c>
      <c r="G3" s="34">
        <v>-8339</v>
      </c>
      <c r="H3" s="34">
        <v>-1563</v>
      </c>
      <c r="I3" s="34">
        <v>103</v>
      </c>
    </row>
    <row r="4" spans="1:9">
      <c r="A4" s="34" t="s">
        <v>162</v>
      </c>
      <c r="B4" s="34">
        <v>-2152</v>
      </c>
      <c r="C4" s="34">
        <v>-1981</v>
      </c>
      <c r="D4" s="34"/>
      <c r="E4" s="34"/>
      <c r="F4" s="34">
        <v>-1981</v>
      </c>
      <c r="G4" s="34"/>
      <c r="H4" s="34"/>
      <c r="I4" s="34">
        <v>-171</v>
      </c>
    </row>
    <row r="5" spans="1:9">
      <c r="A5" s="34" t="s">
        <v>280</v>
      </c>
      <c r="B5" s="34">
        <v>-1004</v>
      </c>
      <c r="C5" s="34">
        <v>-1000</v>
      </c>
      <c r="D5" s="34"/>
      <c r="E5" s="34"/>
      <c r="F5" s="34"/>
      <c r="G5" s="34">
        <v>-1000</v>
      </c>
      <c r="H5" s="34"/>
      <c r="I5" s="34">
        <v>-4</v>
      </c>
    </row>
    <row r="6" spans="1:9">
      <c r="A6" s="34" t="s">
        <v>281</v>
      </c>
      <c r="B6" s="34">
        <v>222</v>
      </c>
      <c r="C6" s="34">
        <v>222</v>
      </c>
      <c r="D6" s="34">
        <v>1</v>
      </c>
      <c r="E6" s="34">
        <v>221</v>
      </c>
      <c r="F6" s="34"/>
      <c r="G6" s="34"/>
      <c r="H6" s="34"/>
      <c r="I6" s="34"/>
    </row>
    <row r="7" spans="1:9">
      <c r="A7" s="34" t="s">
        <v>286</v>
      </c>
      <c r="B7" s="34">
        <v>-477</v>
      </c>
      <c r="C7" s="34">
        <v>-484</v>
      </c>
      <c r="D7" s="34"/>
      <c r="E7" s="34"/>
      <c r="F7" s="34"/>
      <c r="G7" s="34"/>
      <c r="H7" s="34">
        <v>-484</v>
      </c>
      <c r="I7" s="34">
        <v>7</v>
      </c>
    </row>
    <row r="8" spans="1:9">
      <c r="A8" s="34" t="s">
        <v>282</v>
      </c>
      <c r="B8" s="34">
        <v>-2044</v>
      </c>
      <c r="C8" s="34">
        <v>-2034</v>
      </c>
      <c r="D8" s="34"/>
      <c r="E8" s="34"/>
      <c r="F8" s="34">
        <v>-2034</v>
      </c>
      <c r="G8" s="34"/>
      <c r="H8" s="34"/>
      <c r="I8" s="34">
        <v>-10</v>
      </c>
    </row>
    <row r="9" spans="1:9">
      <c r="A9" s="34" t="s">
        <v>293</v>
      </c>
      <c r="B9" s="34">
        <v>43167</v>
      </c>
      <c r="C9" s="34">
        <v>43242</v>
      </c>
      <c r="D9" s="34">
        <v>42</v>
      </c>
      <c r="E9" s="34">
        <v>22832</v>
      </c>
      <c r="F9" s="34">
        <v>31754</v>
      </c>
      <c r="G9" s="34">
        <v>-9339</v>
      </c>
      <c r="H9" s="34">
        <v>-2047</v>
      </c>
      <c r="I9" s="34">
        <v>-75</v>
      </c>
    </row>
  </sheetData>
  <mergeCells count="1">
    <mergeCell ref="A2:G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I10"/>
  <sheetViews>
    <sheetView workbookViewId="0">
      <selection activeCell="E1" sqref="E1:E1048576"/>
    </sheetView>
  </sheetViews>
  <sheetFormatPr defaultColWidth="8.85546875" defaultRowHeight="15"/>
  <cols>
    <col min="1" max="1" width="42.85546875" bestFit="1" customWidth="1"/>
    <col min="3" max="3" width="14.7109375" bestFit="1" customWidth="1"/>
    <col min="4" max="4" width="12.7109375" bestFit="1" customWidth="1"/>
    <col min="5" max="5" width="25.140625" bestFit="1" customWidth="1"/>
    <col min="6" max="6" width="32.42578125" bestFit="1" customWidth="1"/>
    <col min="7" max="7" width="41.28515625" bestFit="1" customWidth="1"/>
    <col min="8" max="8" width="14.28515625" bestFit="1" customWidth="1"/>
  </cols>
  <sheetData>
    <row r="1" spans="1:9" s="1" customFormat="1">
      <c r="A1" s="33"/>
      <c r="B1" s="33" t="s">
        <v>270</v>
      </c>
      <c r="C1" s="33" t="s">
        <v>271</v>
      </c>
      <c r="D1" s="33" t="s">
        <v>272</v>
      </c>
      <c r="E1" s="33" t="s">
        <v>273</v>
      </c>
      <c r="F1" s="33" t="s">
        <v>274</v>
      </c>
      <c r="G1" s="33" t="s">
        <v>275</v>
      </c>
      <c r="H1" s="33" t="s">
        <v>276</v>
      </c>
      <c r="I1" s="33" t="s">
        <v>277</v>
      </c>
    </row>
    <row r="2" spans="1:9">
      <c r="A2" s="81" t="s">
        <v>294</v>
      </c>
      <c r="B2" s="81"/>
      <c r="C2" s="81"/>
      <c r="D2" s="81"/>
      <c r="E2" s="81"/>
      <c r="F2" s="81"/>
      <c r="G2" s="81"/>
      <c r="H2" s="34"/>
      <c r="I2" s="34"/>
    </row>
    <row r="3" spans="1:9">
      <c r="A3" s="34" t="s">
        <v>295</v>
      </c>
      <c r="B3" s="34">
        <v>30811</v>
      </c>
      <c r="C3" s="34">
        <v>30690</v>
      </c>
      <c r="D3" s="34">
        <v>41</v>
      </c>
      <c r="E3" s="34">
        <v>22290</v>
      </c>
      <c r="F3" s="34">
        <v>18243</v>
      </c>
      <c r="G3" s="34">
        <v>-8294</v>
      </c>
      <c r="H3" s="34">
        <v>-1590</v>
      </c>
      <c r="I3" s="34">
        <v>121</v>
      </c>
    </row>
    <row r="4" spans="1:9">
      <c r="A4" s="34" t="s">
        <v>296</v>
      </c>
      <c r="B4" s="34">
        <v>-202</v>
      </c>
      <c r="C4" s="34">
        <v>-202</v>
      </c>
      <c r="D4" s="34"/>
      <c r="E4" s="34"/>
      <c r="F4" s="34">
        <v>-202</v>
      </c>
      <c r="G4" s="34"/>
      <c r="H4" s="34"/>
      <c r="I4" s="34"/>
    </row>
    <row r="5" spans="1:9">
      <c r="A5" s="34" t="s">
        <v>162</v>
      </c>
      <c r="B5" s="34">
        <v>17910</v>
      </c>
      <c r="C5" s="34">
        <v>17937</v>
      </c>
      <c r="D5" s="34"/>
      <c r="E5" s="34"/>
      <c r="F5" s="34">
        <v>17937</v>
      </c>
      <c r="G5" s="34"/>
      <c r="H5" s="34"/>
      <c r="I5" s="34">
        <v>-27</v>
      </c>
    </row>
    <row r="6" spans="1:9">
      <c r="A6" s="34" t="s">
        <v>280</v>
      </c>
      <c r="B6" s="34">
        <v>-41</v>
      </c>
      <c r="C6" s="34">
        <v>-45</v>
      </c>
      <c r="D6" s="34"/>
      <c r="E6" s="34"/>
      <c r="F6" s="34"/>
      <c r="G6" s="34">
        <v>-45</v>
      </c>
      <c r="H6" s="34"/>
      <c r="I6" s="34">
        <v>4</v>
      </c>
    </row>
    <row r="7" spans="1:9">
      <c r="A7" s="34" t="s">
        <v>281</v>
      </c>
      <c r="B7" s="34">
        <v>321</v>
      </c>
      <c r="C7" s="34">
        <v>321</v>
      </c>
      <c r="D7" s="34"/>
      <c r="E7" s="34">
        <v>321</v>
      </c>
      <c r="F7" s="34"/>
      <c r="G7" s="34"/>
      <c r="H7" s="34"/>
      <c r="I7" s="34"/>
    </row>
    <row r="8" spans="1:9">
      <c r="A8" s="34" t="s">
        <v>286</v>
      </c>
      <c r="B8" s="34">
        <v>32</v>
      </c>
      <c r="C8" s="34">
        <v>27</v>
      </c>
      <c r="D8" s="34"/>
      <c r="E8" s="34"/>
      <c r="F8" s="34"/>
      <c r="G8" s="34"/>
      <c r="H8" s="34">
        <v>27</v>
      </c>
      <c r="I8" s="34">
        <v>5</v>
      </c>
    </row>
    <row r="9" spans="1:9">
      <c r="A9" s="34" t="s">
        <v>282</v>
      </c>
      <c r="B9" s="34">
        <v>-411</v>
      </c>
      <c r="C9" s="34">
        <v>-411</v>
      </c>
      <c r="D9" s="34"/>
      <c r="E9" s="34"/>
      <c r="F9" s="34">
        <v>-411</v>
      </c>
      <c r="G9" s="34"/>
      <c r="H9" s="34"/>
      <c r="I9" s="34"/>
    </row>
    <row r="10" spans="1:9">
      <c r="A10" s="34" t="s">
        <v>297</v>
      </c>
      <c r="B10" s="34">
        <v>48622</v>
      </c>
      <c r="C10" s="34">
        <v>48519</v>
      </c>
      <c r="D10" s="34">
        <v>41</v>
      </c>
      <c r="E10" s="34">
        <v>22611</v>
      </c>
      <c r="F10" s="34">
        <v>35769</v>
      </c>
      <c r="G10" s="34">
        <v>-8339</v>
      </c>
      <c r="H10" s="34">
        <v>-1563</v>
      </c>
      <c r="I10" s="34">
        <v>103</v>
      </c>
    </row>
  </sheetData>
  <mergeCells count="1">
    <mergeCell ref="A2:G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I10"/>
  <sheetViews>
    <sheetView workbookViewId="0">
      <selection activeCell="G1" sqref="G1"/>
    </sheetView>
  </sheetViews>
  <sheetFormatPr defaultColWidth="8.85546875" defaultRowHeight="15"/>
  <cols>
    <col min="1" max="1" width="42.85546875" bestFit="1" customWidth="1"/>
    <col min="3" max="3" width="14.7109375" bestFit="1" customWidth="1"/>
    <col min="4" max="4" width="12.7109375" bestFit="1" customWidth="1"/>
    <col min="5" max="5" width="25.140625" bestFit="1" customWidth="1"/>
    <col min="6" max="6" width="32.42578125" bestFit="1" customWidth="1"/>
    <col min="7" max="7" width="41.28515625" bestFit="1" customWidth="1"/>
    <col min="8" max="8" width="14.28515625" bestFit="1" customWidth="1"/>
  </cols>
  <sheetData>
    <row r="1" spans="1:9" s="1" customFormat="1">
      <c r="A1" s="33"/>
      <c r="B1" s="33" t="s">
        <v>270</v>
      </c>
      <c r="C1" s="33" t="s">
        <v>271</v>
      </c>
      <c r="D1" s="33" t="s">
        <v>272</v>
      </c>
      <c r="E1" s="33" t="s">
        <v>273</v>
      </c>
      <c r="F1" s="33" t="s">
        <v>274</v>
      </c>
      <c r="G1" s="33" t="s">
        <v>275</v>
      </c>
      <c r="H1" s="33" t="s">
        <v>276</v>
      </c>
      <c r="I1" s="33" t="s">
        <v>277</v>
      </c>
    </row>
    <row r="2" spans="1:9">
      <c r="A2" s="81" t="s">
        <v>298</v>
      </c>
      <c r="B2" s="81"/>
      <c r="C2" s="81"/>
      <c r="D2" s="81"/>
      <c r="E2" s="81"/>
      <c r="F2" s="81"/>
      <c r="G2" s="81"/>
      <c r="H2" s="34"/>
      <c r="I2" s="34"/>
    </row>
    <row r="3" spans="1:9">
      <c r="A3" s="34" t="s">
        <v>299</v>
      </c>
      <c r="B3" s="34">
        <v>33230</v>
      </c>
      <c r="C3" s="34">
        <v>33185</v>
      </c>
      <c r="D3" s="34">
        <v>41</v>
      </c>
      <c r="E3" s="34">
        <v>22165</v>
      </c>
      <c r="F3" s="34">
        <v>20320</v>
      </c>
      <c r="G3" s="34">
        <v>-7728</v>
      </c>
      <c r="H3" s="34">
        <v>-1613</v>
      </c>
      <c r="I3" s="34">
        <v>45</v>
      </c>
    </row>
    <row r="4" spans="1:9">
      <c r="A4" s="34" t="s">
        <v>162</v>
      </c>
      <c r="B4" s="34">
        <v>-1276</v>
      </c>
      <c r="C4" s="34">
        <v>-1279</v>
      </c>
      <c r="D4" s="34"/>
      <c r="E4" s="34"/>
      <c r="F4" s="34">
        <v>-1279</v>
      </c>
      <c r="G4" s="34"/>
      <c r="H4" s="34"/>
      <c r="I4" s="34">
        <v>3</v>
      </c>
    </row>
    <row r="5" spans="1:9">
      <c r="A5" s="34" t="s">
        <v>280</v>
      </c>
      <c r="B5" s="34">
        <v>-567</v>
      </c>
      <c r="C5" s="34">
        <v>-566</v>
      </c>
      <c r="D5" s="34"/>
      <c r="E5" s="34"/>
      <c r="F5" s="34"/>
      <c r="G5" s="34">
        <v>-566</v>
      </c>
      <c r="H5" s="34"/>
      <c r="I5" s="34">
        <v>-1</v>
      </c>
    </row>
    <row r="6" spans="1:9">
      <c r="A6" s="34" t="s">
        <v>281</v>
      </c>
      <c r="B6" s="34">
        <v>125</v>
      </c>
      <c r="C6" s="34">
        <v>125</v>
      </c>
      <c r="D6" s="34"/>
      <c r="E6" s="34">
        <v>125</v>
      </c>
      <c r="F6" s="34"/>
      <c r="G6" s="34"/>
      <c r="H6" s="34"/>
      <c r="I6" s="34"/>
    </row>
    <row r="7" spans="1:9">
      <c r="A7" s="34" t="s">
        <v>286</v>
      </c>
      <c r="B7" s="34">
        <v>109</v>
      </c>
      <c r="C7" s="34">
        <v>23</v>
      </c>
      <c r="D7" s="34"/>
      <c r="E7" s="34"/>
      <c r="F7" s="34"/>
      <c r="G7" s="34"/>
      <c r="H7" s="34">
        <v>23</v>
      </c>
      <c r="I7" s="34">
        <v>86</v>
      </c>
    </row>
    <row r="8" spans="1:9">
      <c r="A8" s="34" t="s">
        <v>282</v>
      </c>
      <c r="B8" s="34">
        <v>-608</v>
      </c>
      <c r="C8" s="34">
        <v>-596</v>
      </c>
      <c r="D8" s="34"/>
      <c r="E8" s="34"/>
      <c r="F8" s="34">
        <v>-596</v>
      </c>
      <c r="G8" s="34"/>
      <c r="H8" s="34"/>
      <c r="I8" s="34">
        <v>-12</v>
      </c>
    </row>
    <row r="9" spans="1:9">
      <c r="A9" s="34" t="s">
        <v>300</v>
      </c>
      <c r="B9" s="34">
        <v>30811</v>
      </c>
      <c r="C9" s="34">
        <v>30690</v>
      </c>
      <c r="D9" s="34">
        <v>41</v>
      </c>
      <c r="E9" s="34">
        <v>22290</v>
      </c>
      <c r="F9" s="34">
        <v>18243</v>
      </c>
      <c r="G9" s="34">
        <v>-8294</v>
      </c>
      <c r="H9" s="34">
        <v>-1590</v>
      </c>
      <c r="I9" s="34">
        <v>121</v>
      </c>
    </row>
    <row r="10" spans="1:9">
      <c r="A10" s="34"/>
      <c r="B10" s="34"/>
      <c r="C10" s="34"/>
      <c r="D10" s="34"/>
      <c r="E10" s="34"/>
      <c r="F10" s="34"/>
      <c r="G10" s="34"/>
      <c r="H10" s="34"/>
      <c r="I10" s="34"/>
    </row>
  </sheetData>
  <mergeCells count="1">
    <mergeCell ref="A2:G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79998168889431442"/>
  </sheetPr>
  <dimension ref="A1:G43"/>
  <sheetViews>
    <sheetView tabSelected="1" workbookViewId="0">
      <pane ySplit="2" topLeftCell="A23" activePane="bottomLeft" state="frozen"/>
      <selection pane="bottomLeft" activeCell="J34" sqref="J34"/>
    </sheetView>
  </sheetViews>
  <sheetFormatPr defaultColWidth="8.85546875" defaultRowHeight="15"/>
  <cols>
    <col min="1" max="1" width="52.42578125" bestFit="1" customWidth="1"/>
    <col min="2" max="7" width="13.140625" customWidth="1"/>
  </cols>
  <sheetData>
    <row r="1" spans="1:7">
      <c r="A1" t="s">
        <v>88</v>
      </c>
    </row>
    <row r="2" spans="1:7">
      <c r="A2" s="1"/>
      <c r="B2" s="8" t="s">
        <v>16</v>
      </c>
      <c r="C2" s="8" t="s">
        <v>17</v>
      </c>
      <c r="D2" s="8" t="s">
        <v>18</v>
      </c>
      <c r="E2" s="8" t="s">
        <v>19</v>
      </c>
      <c r="F2" s="8" t="s">
        <v>20</v>
      </c>
      <c r="G2" s="8" t="s">
        <v>21</v>
      </c>
    </row>
    <row r="3" spans="1:7">
      <c r="A3" s="8" t="s">
        <v>301</v>
      </c>
      <c r="B3" s="8">
        <v>2025</v>
      </c>
      <c r="C3" s="8">
        <v>2024</v>
      </c>
      <c r="D3" s="8">
        <v>2023</v>
      </c>
      <c r="E3" s="8">
        <v>2022</v>
      </c>
      <c r="F3" s="8">
        <v>2021</v>
      </c>
      <c r="G3" s="8">
        <v>2020</v>
      </c>
    </row>
    <row r="4" spans="1:7">
      <c r="A4" s="14" t="s">
        <v>302</v>
      </c>
      <c r="B4" s="71">
        <f>'D3_Analysis of Income Statment'!B4</f>
        <v>187267</v>
      </c>
      <c r="C4" s="71">
        <f>'D3_Analysis of Income Statment'!C4</f>
        <v>184992</v>
      </c>
      <c r="D4" s="71">
        <f>'D3_Analysis of Income Statment'!D4</f>
        <v>176191</v>
      </c>
      <c r="E4" s="71">
        <f>'D3_Analysis of Income Statment'!E4</f>
        <v>158057</v>
      </c>
      <c r="F4" s="71">
        <f>'D3_Analysis of Income Statment'!F4</f>
        <v>136341</v>
      </c>
      <c r="G4" s="71">
        <f>'D3_Analysis of Income Statment'!G4</f>
        <v>127144</v>
      </c>
    </row>
    <row r="5" spans="1:7">
      <c r="A5" s="1" t="s">
        <v>303</v>
      </c>
      <c r="B5" s="39">
        <f>D3_ISHorizontalAnalysis!B3</f>
        <v>1.229782909531223E-2</v>
      </c>
      <c r="C5" s="39">
        <f>D3_ISHorizontalAnalysis!C3</f>
        <v>4.9951473117242087E-2</v>
      </c>
      <c r="D5" s="39">
        <f>D3_ISHorizontalAnalysis!D3</f>
        <v>0.11473076168723942</v>
      </c>
      <c r="E5" s="39">
        <f>D3_ISHorizontalAnalysis!E3</f>
        <v>0.15927710666637329</v>
      </c>
      <c r="F5" s="39">
        <f>D3_ISHorizontalAnalysis!F3</f>
        <v>7.2335304851192356E-2</v>
      </c>
      <c r="G5" s="64" t="str">
        <f>D3_ISHorizontalAnalysis!G3</f>
        <v>-</v>
      </c>
    </row>
    <row r="6" spans="1:7">
      <c r="A6" s="1"/>
    </row>
    <row r="7" spans="1:7">
      <c r="A7" s="14" t="s">
        <v>304</v>
      </c>
      <c r="B7" s="71">
        <f>'D3_Analysis of Income Statment'!B7</f>
        <v>-21423</v>
      </c>
      <c r="C7" s="71">
        <f>'D3_Analysis of Income Statment'!C7</f>
        <v>-2879</v>
      </c>
      <c r="D7" s="71">
        <f>'D3_Analysis of Income Statment'!D7</f>
        <v>-4933</v>
      </c>
      <c r="E7" s="71">
        <f>'D3_Analysis of Income Statment'!E7</f>
        <v>-8631</v>
      </c>
      <c r="F7" s="71">
        <f>'D3_Analysis of Income Statment'!F7</f>
        <v>13324</v>
      </c>
      <c r="G7" s="71">
        <f>'D3_Analysis of Income Statment'!G7</f>
        <v>-7787</v>
      </c>
    </row>
    <row r="8" spans="1:7">
      <c r="A8" s="1" t="s">
        <v>305</v>
      </c>
      <c r="B8" s="39">
        <f>'D3_Analysis of Income Statment'!B8</f>
        <v>-6.4411253907606811</v>
      </c>
      <c r="C8" s="39">
        <f>'D3_Analysis of Income Statment'!C8</f>
        <v>0.41637948510034462</v>
      </c>
      <c r="D8" s="39">
        <f>'D3_Analysis of Income Statment'!D8</f>
        <v>0.42845556714169852</v>
      </c>
      <c r="E8" s="39">
        <f>'D3_Analysis of Income Statment'!E8</f>
        <v>-1.6477784449114381</v>
      </c>
      <c r="F8" s="39">
        <f>'D3_Analysis of Income Statment'!F8</f>
        <v>2.7110568896879412</v>
      </c>
      <c r="G8" s="64" t="str">
        <f>'D3_Analysis of Income Statment'!G8</f>
        <v>-</v>
      </c>
    </row>
    <row r="9" spans="1:7">
      <c r="A9" s="1"/>
    </row>
    <row r="10" spans="1:7">
      <c r="A10" s="14" t="s">
        <v>306</v>
      </c>
      <c r="B10" s="71">
        <f>'D3_Analysis of Income Statment'!B10</f>
        <v>-9169</v>
      </c>
      <c r="C10" s="71">
        <f>'D3_Analysis of Income Statment'!C10</f>
        <v>5219</v>
      </c>
      <c r="D10" s="71">
        <f>'D3_Analysis of Income Statment'!D10</f>
        <v>5458</v>
      </c>
      <c r="E10" s="71">
        <f>'D3_Analysis of Income Statment'!E10</f>
        <v>6276</v>
      </c>
      <c r="F10" s="71">
        <f>'D3_Analysis of Income Statment'!F10</f>
        <v>4523</v>
      </c>
      <c r="G10" s="71">
        <f>'D3_Analysis of Income Statment'!G10</f>
        <v>-4408</v>
      </c>
    </row>
    <row r="11" spans="1:7">
      <c r="A11" s="1" t="s">
        <v>307</v>
      </c>
      <c r="B11" s="39">
        <f>'D3_Analysis of Income Statment'!B11</f>
        <v>-2.7568499712588617</v>
      </c>
      <c r="C11" s="39">
        <f>'D3_Analysis of Income Statment'!C11</f>
        <v>-4.3788933675338954E-2</v>
      </c>
      <c r="D11" s="39">
        <f>'D3_Analysis of Income Statment'!D11</f>
        <v>-0.13033779477374124</v>
      </c>
      <c r="E11" s="39">
        <f>'D3_Analysis of Income Statment'!E11</f>
        <v>0.38757461861596287</v>
      </c>
      <c r="F11" s="39">
        <f>'D3_Analysis of Income Statment'!F11</f>
        <v>2.0260889292196009</v>
      </c>
      <c r="G11" s="64" t="str">
        <f>'D3_Analysis of Income Statment'!G11</f>
        <v>-</v>
      </c>
    </row>
    <row r="12" spans="1:7">
      <c r="A12" s="1"/>
    </row>
    <row r="13" spans="1:7">
      <c r="A13" s="14" t="s">
        <v>308</v>
      </c>
      <c r="B13" s="71">
        <f>'D3_Analysis of Income Statment'!B13</f>
        <v>-8182</v>
      </c>
      <c r="C13" s="71">
        <f>'D3_Analysis of Income Statment'!C13</f>
        <v>5879</v>
      </c>
      <c r="D13" s="71">
        <f>'D3_Analysis of Income Statment'!D13</f>
        <v>4347</v>
      </c>
      <c r="E13" s="71">
        <f>'D3_Analysis of Income Statment'!E13</f>
        <v>-1981</v>
      </c>
      <c r="F13" s="71">
        <f>'D3_Analysis of Income Statment'!F13</f>
        <v>17937</v>
      </c>
      <c r="G13" s="71">
        <f>'D3_Analysis of Income Statment'!G13</f>
        <v>-1279</v>
      </c>
    </row>
    <row r="14" spans="1:7">
      <c r="A14" s="8" t="s">
        <v>309</v>
      </c>
      <c r="B14" s="59">
        <f>D3_ISHorizontalAnalysis!B5</f>
        <v>-2.3917332879741453</v>
      </c>
      <c r="C14" s="59">
        <f>D3_ISHorizontalAnalysis!C5</f>
        <v>0.35242696112261329</v>
      </c>
      <c r="D14" s="59">
        <f>D3_ISHorizontalAnalysis!D5</f>
        <v>3.1943462897526502</v>
      </c>
      <c r="E14" s="59">
        <f>D3_ISHorizontalAnalysis!E5</f>
        <v>-1.1104421029157607</v>
      </c>
      <c r="F14" s="59">
        <f>D3_ISHorizontalAnalysis!F5</f>
        <v>15.024237685691947</v>
      </c>
      <c r="G14" s="65" t="str">
        <f>D3_ISHorizontalAnalysis!G5</f>
        <v>-</v>
      </c>
    </row>
    <row r="15" spans="1:7">
      <c r="A15" s="1"/>
      <c r="B15" s="1"/>
      <c r="C15" s="1"/>
      <c r="D15" s="1"/>
      <c r="E15" s="1"/>
      <c r="F15" s="1"/>
      <c r="G15" s="1"/>
    </row>
    <row r="17" spans="1:7">
      <c r="A17" s="1"/>
      <c r="B17" s="8" t="s">
        <v>16</v>
      </c>
      <c r="C17" s="8" t="s">
        <v>17</v>
      </c>
      <c r="D17" s="8" t="s">
        <v>18</v>
      </c>
      <c r="E17" s="8" t="s">
        <v>19</v>
      </c>
      <c r="F17" s="8" t="s">
        <v>20</v>
      </c>
      <c r="G17" s="8" t="s">
        <v>21</v>
      </c>
    </row>
    <row r="18" spans="1:7">
      <c r="A18" s="8" t="s">
        <v>310</v>
      </c>
      <c r="B18" s="8">
        <v>2025</v>
      </c>
      <c r="C18" s="8">
        <v>2024</v>
      </c>
      <c r="D18" s="8">
        <v>2023</v>
      </c>
      <c r="E18" s="8">
        <v>2022</v>
      </c>
      <c r="F18" s="8">
        <v>2021</v>
      </c>
      <c r="G18" s="8">
        <v>2020</v>
      </c>
    </row>
    <row r="19" spans="1:7">
      <c r="A19" t="s">
        <v>311</v>
      </c>
      <c r="B19" s="69">
        <f>D1_IncomeStatment!B26/(SUM('D1_Balance Sheet'!B42:C42)/2)</f>
        <v>-0.20255734214663251</v>
      </c>
      <c r="C19" s="69">
        <f>D1_IncomeStatment!C26/(SUM('D1_Balance Sheet'!C42:D42)/2)</f>
        <v>0.13421148753538489</v>
      </c>
      <c r="D19" s="69">
        <f>D1_IncomeStatment!D26/(SUM('D1_Balance Sheet'!D42:E42)/2)</f>
        <v>0.10107539382665814</v>
      </c>
      <c r="E19" s="69">
        <f>D1_IncomeStatment!E26/(SUM('D1_Balance Sheet'!E42:F42)/2)</f>
        <v>-4.3177384727716567E-2</v>
      </c>
      <c r="F19" s="69">
        <f>D1_IncomeStatment!F26/(SUM('D1_Balance Sheet'!F42:G42)/2)</f>
        <v>0.45290307919554595</v>
      </c>
      <c r="G19" s="69">
        <f>D1_IncomeStatment!G26/(('D1_Balance Sheet'!G42+33230)/2)</f>
        <v>-4.0018773466833545E-2</v>
      </c>
    </row>
    <row r="20" spans="1:7">
      <c r="B20" s="69"/>
      <c r="C20" s="69"/>
      <c r="D20" s="69"/>
      <c r="E20" s="69"/>
      <c r="F20" s="69"/>
      <c r="G20" s="69"/>
    </row>
    <row r="21" spans="1:7">
      <c r="A21" s="22" t="s">
        <v>312</v>
      </c>
      <c r="B21" s="69"/>
      <c r="C21" s="69"/>
      <c r="D21" s="69"/>
      <c r="E21" s="69"/>
      <c r="F21" s="69"/>
      <c r="G21" s="69"/>
    </row>
    <row r="22" spans="1:7">
      <c r="A22" t="s">
        <v>313</v>
      </c>
      <c r="B22" s="69">
        <f>D1_IncomeStatment!B26/(SUM('D1_Balance Sheet'!B19:C19)/2)</f>
        <v>-2.8491040400030643E-2</v>
      </c>
      <c r="C22" s="69">
        <f>D1_IncomeStatment!C26/(SUM('D1_Balance Sheet'!C19:D19)/2)</f>
        <v>2.1052593884398736E-2</v>
      </c>
      <c r="D22" s="69">
        <f>D1_IncomeStatment!D26/(SUM('D1_Balance Sheet'!D19:E19)/2)</f>
        <v>1.6428757695665482E-2</v>
      </c>
      <c r="E22" s="69">
        <f>D1_IncomeStatment!E26/(SUM('D1_Balance Sheet'!E19:F19)/2)</f>
        <v>-7.7244165258062193E-3</v>
      </c>
      <c r="F22" s="69">
        <f>D1_IncomeStatment!F26/(SUM('D1_Balance Sheet'!F19:G19)/2)</f>
        <v>6.8423180798632827E-2</v>
      </c>
      <c r="G22" s="69">
        <f>D1_IncomeStatment!G26/(SUM('D1_Balance Sheet'!G19,114047)/2)</f>
        <v>-6.7084876268003815E-3</v>
      </c>
    </row>
    <row r="23" spans="1:7">
      <c r="A23" t="s">
        <v>314</v>
      </c>
      <c r="B23" s="69">
        <f>(SUM('D1_Balance Sheet'!B19:C19)/2)/(SUM('D1_Balance Sheet'!B42:C42)/2)</f>
        <v>7.1095101934717215</v>
      </c>
      <c r="C23" s="69">
        <f>(SUM('D1_Balance Sheet'!C19:D19)/2)/(SUM('D1_Balance Sheet'!C42:D42)/2)</f>
        <v>6.3750570724134779</v>
      </c>
      <c r="D23" s="69">
        <f>(SUM('D1_Balance Sheet'!D19:E19)/2)/(SUM('D1_Balance Sheet'!D42:E42)/2)</f>
        <v>6.1523455211300355</v>
      </c>
      <c r="E23" s="69">
        <f>(SUM('D1_Balance Sheet'!E19:F19)/2)/(SUM('D1_Balance Sheet'!E42:F42)/2)</f>
        <v>5.5897276620786611</v>
      </c>
      <c r="F23" s="69">
        <f>(SUM('D1_Balance Sheet'!F19:G19)/2)/(SUM('D1_Balance Sheet'!F42:G42)/2)</f>
        <v>6.6191468141246572</v>
      </c>
      <c r="G23" s="69">
        <f>(SUM('D1_Balance Sheet'!G19,114047)/2)/(SUM('D1_Balance Sheet'!G42,33230)/2)</f>
        <v>5.9653942428035043</v>
      </c>
    </row>
    <row r="24" spans="1:7">
      <c r="B24" s="69"/>
      <c r="C24" s="69"/>
      <c r="D24" s="69"/>
      <c r="E24" s="69"/>
      <c r="F24" s="69"/>
      <c r="G24" s="69"/>
    </row>
    <row r="25" spans="1:7">
      <c r="A25" s="22" t="s">
        <v>315</v>
      </c>
      <c r="B25" s="69"/>
      <c r="C25" s="69"/>
      <c r="D25" s="69"/>
      <c r="E25" s="69"/>
      <c r="F25" s="69"/>
      <c r="G25" s="69"/>
    </row>
    <row r="26" spans="1:7">
      <c r="A26" t="s">
        <v>154</v>
      </c>
      <c r="B26" s="69">
        <f>D1_IncomeStatment!B26/D1_IncomeStatment!B9</f>
        <v>-4.3691627462393266E-2</v>
      </c>
      <c r="C26" s="69">
        <f>D1_IncomeStatment!C26/D1_IncomeStatment!C9</f>
        <v>3.1779752637951908E-2</v>
      </c>
      <c r="D26" s="69">
        <f>D1_IncomeStatment!D26/D1_IncomeStatment!D9</f>
        <v>2.4672088812708937E-2</v>
      </c>
      <c r="E26" s="69">
        <f>D1_IncomeStatment!E26/D1_IncomeStatment!E9</f>
        <v>-1.2533453121342301E-2</v>
      </c>
      <c r="F26" s="69">
        <f>D1_IncomeStatment!F26/D1_IncomeStatment!F9</f>
        <v>0.13155983893326292</v>
      </c>
      <c r="G26" s="69">
        <f>D1_IncomeStatment!G26/D1_IncomeStatment!G9</f>
        <v>-1.0059460139684138E-2</v>
      </c>
    </row>
    <row r="27" spans="1:7">
      <c r="A27" t="s">
        <v>316</v>
      </c>
      <c r="B27" s="69">
        <f>D1_IncomeStatment!B9/(SUM('D1_Balance Sheet'!B19:C19)/2)</f>
        <v>0.65209382334301369</v>
      </c>
      <c r="C27" s="69">
        <f>D1_IncomeStatment!C9/(SUM('D1_Balance Sheet'!C19:D19)/2)</f>
        <v>0.66245304437194941</v>
      </c>
      <c r="D27" s="69">
        <f>D1_IncomeStatment!D9/(SUM('D1_Balance Sheet'!D19:E19)/2)</f>
        <v>0.66588434487163495</v>
      </c>
      <c r="E27" s="69">
        <f>D1_IncomeStatment!E9/(SUM('D1_Balance Sheet'!E19:F19)/2)</f>
        <v>0.61630393882854795</v>
      </c>
      <c r="F27" s="69">
        <f>D1_IncomeStatment!F9/(SUM('D1_Balance Sheet'!F19:G19)/2)</f>
        <v>0.52009170392297477</v>
      </c>
      <c r="G27" s="69">
        <f>D1_IncomeStatment!G9/(SUM('D1_Balance Sheet'!G19,114047)/2)</f>
        <v>0.66688346428608891</v>
      </c>
    </row>
    <row r="28" spans="1:7">
      <c r="A28" t="s">
        <v>314</v>
      </c>
      <c r="B28" s="69">
        <f>(SUM('D1_Balance Sheet'!B19:C19)/2)/(SUM('D1_Balance Sheet'!B42:C42)/2)</f>
        <v>7.1095101934717215</v>
      </c>
      <c r="C28" s="69">
        <f>(SUM('D1_Balance Sheet'!C19:D19)/2)/(SUM('D1_Balance Sheet'!C42:D42)/2)</f>
        <v>6.3750570724134779</v>
      </c>
      <c r="D28" s="69">
        <f>(SUM('D1_Balance Sheet'!D19:E19)/2)/(SUM('D1_Balance Sheet'!D42:E42)/2)</f>
        <v>6.1523455211300355</v>
      </c>
      <c r="E28" s="69">
        <f>(SUM('D1_Balance Sheet'!E19:F19)/2)/(SUM('D1_Balance Sheet'!E42:F42)/2)</f>
        <v>5.5897276620786611</v>
      </c>
      <c r="F28" s="69">
        <f>(SUM('D1_Balance Sheet'!F19:G19)/2)/(SUM('D1_Balance Sheet'!F42:G42)/2)</f>
        <v>6.6191468141246572</v>
      </c>
      <c r="G28" s="69">
        <f>(SUM('D1_Balance Sheet'!G19,114047)/2)/(SUM('D1_Balance Sheet'!G42,33230)/2)</f>
        <v>5.9653942428035043</v>
      </c>
    </row>
    <row r="29" spans="1:7">
      <c r="B29" s="69"/>
      <c r="C29" s="69"/>
      <c r="D29" s="69"/>
      <c r="E29" s="69"/>
      <c r="F29" s="69"/>
      <c r="G29" s="69"/>
    </row>
    <row r="30" spans="1:7">
      <c r="A30" s="22" t="s">
        <v>317</v>
      </c>
      <c r="B30" s="69"/>
      <c r="C30" s="69"/>
      <c r="D30" s="69"/>
      <c r="E30" s="69"/>
      <c r="F30" s="69"/>
      <c r="G30" s="69"/>
    </row>
    <row r="31" spans="1:7">
      <c r="A31" t="s">
        <v>318</v>
      </c>
      <c r="B31" s="69">
        <f>D1_IncomeStatment!B26/D1_IncomeStatment!B22</f>
        <v>0.69163144547759936</v>
      </c>
      <c r="C31" s="69">
        <f>D1_IncomeStatment!C26/D1_IncomeStatment!C22</f>
        <v>0.81280243329185675</v>
      </c>
      <c r="D31" s="69">
        <f>D1_IncomeStatment!D26/D1_IncomeStatment!D22</f>
        <v>1.0957902697252331</v>
      </c>
      <c r="E31" s="69">
        <f>D1_IncomeStatment!E26/D1_IncomeStatment!E22</f>
        <v>0.65683023872679047</v>
      </c>
      <c r="F31" s="69">
        <f>D1_IncomeStatment!F26/D1_IncomeStatment!F22</f>
        <v>1.0088301462317211</v>
      </c>
      <c r="G31" s="69">
        <f>D1_IncomeStatment!G26/D1_IncomeStatment!G22</f>
        <v>1.1460573476702509</v>
      </c>
    </row>
    <row r="32" spans="1:7">
      <c r="A32" t="s">
        <v>319</v>
      </c>
      <c r="B32" s="69">
        <f>D1_IncomeStatment!B22/D1_IncomeStatment!B28</f>
        <v>1.2902170356636493</v>
      </c>
      <c r="C32" s="69">
        <f>D1_IncomeStatment!C22/D1_IncomeStatment!C28</f>
        <v>1.3858976815481894</v>
      </c>
      <c r="D32" s="69">
        <f>D1_IncomeStatment!D22/D1_IncomeStatment!D28</f>
        <v>0.72682301209234157</v>
      </c>
      <c r="E32" s="69">
        <f>D1_IncomeStatment!E22/D1_IncomeStatment!E28</f>
        <v>-0.4805608667941364</v>
      </c>
      <c r="F32" s="69">
        <f>D1_IncomeStatment!F22/D1_IncomeStatment!F28</f>
        <v>3.9310192350210036</v>
      </c>
      <c r="G32" s="69">
        <f>D1_IncomeStatment!G22/D1_IncomeStatment!G28</f>
        <v>0.25317604355716877</v>
      </c>
    </row>
    <row r="33" spans="1:7">
      <c r="A33" t="s">
        <v>320</v>
      </c>
      <c r="B33" s="69">
        <f>D1_IncomeStatment!B28/D1_IncomeStatment!B9</f>
        <v>-4.8962176998616949E-2</v>
      </c>
      <c r="C33" s="69">
        <f>D1_IncomeStatment!C28/D1_IncomeStatment!C9</f>
        <v>2.8212030790520672E-2</v>
      </c>
      <c r="D33" s="69">
        <f>D1_IncomeStatment!D28/D1_IncomeStatment!D9</f>
        <v>3.0977745741836985E-2</v>
      </c>
      <c r="E33" s="69">
        <f>D1_IncomeStatment!E28/D1_IncomeStatment!E9</f>
        <v>3.9707194240052639E-2</v>
      </c>
      <c r="F33" s="69">
        <f>D1_IncomeStatment!F28/D1_IncomeStatment!F9</f>
        <v>3.317417357948086E-2</v>
      </c>
      <c r="G33" s="69">
        <f>D1_IncomeStatment!G28/D1_IncomeStatment!G9</f>
        <v>-3.4669351286730009E-2</v>
      </c>
    </row>
    <row r="34" spans="1:7">
      <c r="A34" t="s">
        <v>316</v>
      </c>
      <c r="B34" s="69">
        <f>D1_IncomeStatment!B9/(SUM('D1_Balance Sheet'!B19:C19)/2)</f>
        <v>0.65209382334301369</v>
      </c>
      <c r="C34" s="69">
        <f>D1_IncomeStatment!C9/(SUM('D1_Balance Sheet'!C19:D19)/2)</f>
        <v>0.66245304437194941</v>
      </c>
      <c r="D34" s="69">
        <f>D1_IncomeStatment!D9/(SUM('D1_Balance Sheet'!D19:E19)/2)</f>
        <v>0.66588434487163495</v>
      </c>
      <c r="E34" s="69">
        <f>D1_IncomeStatment!E9/(SUM('D1_Balance Sheet'!E19:F19)/2)</f>
        <v>0.61630393882854795</v>
      </c>
      <c r="F34" s="69">
        <f>D1_IncomeStatment!F9/(SUM('D1_Balance Sheet'!F19:G19)/2)</f>
        <v>0.52009170392297477</v>
      </c>
      <c r="G34" s="69">
        <f>D1_IncomeStatment!G9/(SUM('D1_Balance Sheet'!G19,114047)/2)</f>
        <v>0.66688346428608891</v>
      </c>
    </row>
    <row r="35" spans="1:7">
      <c r="A35" s="9" t="s">
        <v>314</v>
      </c>
      <c r="B35" s="70">
        <f>(SUM('D1_Balance Sheet'!B19:C19)/2)/(SUM('D1_Balance Sheet'!B42:C42)/2)</f>
        <v>7.1095101934717215</v>
      </c>
      <c r="C35" s="70">
        <f>(SUM('D1_Balance Sheet'!C19:D19)/2)/(SUM('D1_Balance Sheet'!C42:D42)/2)</f>
        <v>6.3750570724134779</v>
      </c>
      <c r="D35" s="70">
        <f>(SUM('D1_Balance Sheet'!D19:E19)/2)/(SUM('D1_Balance Sheet'!D42:E42)/2)</f>
        <v>6.1523455211300355</v>
      </c>
      <c r="E35" s="70">
        <f>(SUM('D1_Balance Sheet'!E19:F19)/2)/(SUM('D1_Balance Sheet'!E42:F42)/2)</f>
        <v>5.5897276620786611</v>
      </c>
      <c r="F35" s="70">
        <f>(SUM('D1_Balance Sheet'!F19:G19)/2)/(SUM('D1_Balance Sheet'!F42:G42)/2)</f>
        <v>6.6191468141246572</v>
      </c>
      <c r="G35" s="70">
        <f>(SUM('D1_Balance Sheet'!G19,114047)/2)/(SUM('D1_Balance Sheet'!G42,33230)/2)</f>
        <v>5.9653942428035043</v>
      </c>
    </row>
    <row r="38" spans="1:7">
      <c r="A38" s="4"/>
      <c r="B38" s="8" t="s">
        <v>16</v>
      </c>
      <c r="C38" s="8" t="s">
        <v>17</v>
      </c>
      <c r="D38" s="8" t="s">
        <v>18</v>
      </c>
      <c r="E38" s="8" t="s">
        <v>19</v>
      </c>
      <c r="F38" s="8" t="s">
        <v>20</v>
      </c>
      <c r="G38" s="8" t="s">
        <v>21</v>
      </c>
    </row>
    <row r="39" spans="1:7" ht="15.95" customHeight="1">
      <c r="A39" s="17" t="s">
        <v>150</v>
      </c>
      <c r="B39" s="8">
        <v>2025</v>
      </c>
      <c r="C39" s="8">
        <v>2024</v>
      </c>
      <c r="D39" s="8">
        <v>2023</v>
      </c>
      <c r="E39" s="8">
        <v>2022</v>
      </c>
      <c r="F39" s="8">
        <v>2021</v>
      </c>
      <c r="G39" s="8">
        <v>2020</v>
      </c>
    </row>
    <row r="40" spans="1:7" ht="15.95" customHeight="1">
      <c r="A40" s="4" t="s">
        <v>151</v>
      </c>
      <c r="B40" s="39">
        <f>'D3_Analysis of Income Statment'!B19</f>
        <v>0.1960676467290019</v>
      </c>
      <c r="C40" s="39">
        <f>'D3_Analysis of Income Statment'!C19</f>
        <v>0.143562964884968</v>
      </c>
      <c r="D40" s="39">
        <f>'D3_Analysis of Income Statment'!D19</f>
        <v>0.14552956734452951</v>
      </c>
      <c r="E40" s="39">
        <f>'D3_Analysis of Income Statment'!E19</f>
        <v>0.1496928323326395</v>
      </c>
      <c r="F40" s="39">
        <f>'D3_Analysis of Income Statment'!F19</f>
        <v>0.15908640834378507</v>
      </c>
      <c r="G40" s="39">
        <f>'D3_Analysis of Income Statment'!G19</f>
        <v>0.11319448813943246</v>
      </c>
    </row>
    <row r="41" spans="1:7" ht="15.95" customHeight="1">
      <c r="A41" s="15" t="s">
        <v>152</v>
      </c>
      <c r="B41" s="55">
        <f>'D3_Analysis of Income Statment'!B20</f>
        <v>-4.8962176998616949E-2</v>
      </c>
      <c r="C41" s="55">
        <f>'D3_Analysis of Income Statment'!C20</f>
        <v>2.8212030790520672E-2</v>
      </c>
      <c r="D41" s="55">
        <f>'D3_Analysis of Income Statment'!D20</f>
        <v>3.0977745741836985E-2</v>
      </c>
      <c r="E41" s="55">
        <f>'D3_Analysis of Income Statment'!E20</f>
        <v>3.9707194240052639E-2</v>
      </c>
      <c r="F41" s="55">
        <f>'D3_Analysis of Income Statment'!F20</f>
        <v>3.317417357948086E-2</v>
      </c>
      <c r="G41" s="55">
        <f>'D3_Analysis of Income Statment'!G20</f>
        <v>-3.4669351286730009E-2</v>
      </c>
    </row>
    <row r="42" spans="1:7" ht="15.95" customHeight="1">
      <c r="A42" s="4" t="s">
        <v>153</v>
      </c>
      <c r="B42" s="39">
        <f>'D3_Analysis of Income Statment'!B21</f>
        <v>-6.3171834866794466E-2</v>
      </c>
      <c r="C42" s="39">
        <f>'D3_Analysis of Income Statment'!C21</f>
        <v>3.9098988064348729E-2</v>
      </c>
      <c r="D42" s="39">
        <f>'D3_Analysis of Income Statment'!D21</f>
        <v>2.2515338467912663E-2</v>
      </c>
      <c r="E42" s="39">
        <f>'D3_Analysis of Income Statment'!E21</f>
        <v>-1.9081723681962835E-2</v>
      </c>
      <c r="F42" s="39">
        <f>'D3_Analysis of Income Statment'!F21</f>
        <v>0.13040831444686485</v>
      </c>
      <c r="G42" s="39">
        <f>'D3_Analysis of Income Statment'!G21</f>
        <v>-8.7774491914679419E-3</v>
      </c>
    </row>
    <row r="43" spans="1:7" ht="15.95" customHeight="1">
      <c r="A43" s="18" t="s">
        <v>154</v>
      </c>
      <c r="B43" s="72">
        <f>'D3_Analysis of Income Statment'!B22</f>
        <v>-4.3691627462393266E-2</v>
      </c>
      <c r="C43" s="72">
        <f>'D3_Analysis of Income Statment'!C22</f>
        <v>3.1779752637951908E-2</v>
      </c>
      <c r="D43" s="72">
        <f>'D3_Analysis of Income Statment'!D22</f>
        <v>2.4672088812708937E-2</v>
      </c>
      <c r="E43" s="72">
        <f>'D3_Analysis of Income Statment'!E22</f>
        <v>-1.2533453121342301E-2</v>
      </c>
      <c r="F43" s="72">
        <f>'D3_Analysis of Income Statment'!F22</f>
        <v>0.13155983893326292</v>
      </c>
      <c r="G43" s="72">
        <f>'D3_Analysis of Income Statment'!G22</f>
        <v>-1.0059460139684138E-2</v>
      </c>
    </row>
  </sheetData>
  <pageMargins left="0.7" right="0.7" top="0.75" bottom="0.75" header="0.3" footer="0.3"/>
  <pageSetup orientation="portrait"/>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79998168889431442"/>
  </sheetPr>
  <dimension ref="A1:I19"/>
  <sheetViews>
    <sheetView workbookViewId="0">
      <pane ySplit="2" topLeftCell="A3" activePane="bottomLeft" state="frozen"/>
      <selection pane="bottomLeft" activeCell="A26" sqref="A26"/>
    </sheetView>
  </sheetViews>
  <sheetFormatPr defaultColWidth="8.85546875" defaultRowHeight="15"/>
  <cols>
    <col min="1" max="1" width="52.42578125" bestFit="1" customWidth="1"/>
    <col min="2" max="7" width="13.140625" customWidth="1"/>
    <col min="9" max="9" width="33.42578125" customWidth="1"/>
  </cols>
  <sheetData>
    <row r="1" spans="1:9">
      <c r="A1" t="s">
        <v>88</v>
      </c>
    </row>
    <row r="2" spans="1:9">
      <c r="A2" s="1"/>
      <c r="B2" s="8" t="s">
        <v>16</v>
      </c>
      <c r="C2" s="8" t="s">
        <v>17</v>
      </c>
      <c r="D2" s="8" t="s">
        <v>18</v>
      </c>
      <c r="E2" s="8" t="s">
        <v>19</v>
      </c>
      <c r="F2" s="8" t="s">
        <v>20</v>
      </c>
      <c r="G2" s="8" t="s">
        <v>21</v>
      </c>
    </row>
    <row r="3" spans="1:9">
      <c r="A3" s="8" t="s">
        <v>321</v>
      </c>
      <c r="B3" s="8">
        <v>2025</v>
      </c>
      <c r="C3" s="8">
        <v>2024</v>
      </c>
      <c r="D3" s="8">
        <v>2023</v>
      </c>
      <c r="E3" s="8">
        <v>2022</v>
      </c>
      <c r="F3" s="8">
        <v>2021</v>
      </c>
      <c r="G3" s="8">
        <v>2020</v>
      </c>
    </row>
    <row r="4" spans="1:9">
      <c r="A4" s="13" t="s">
        <v>322</v>
      </c>
      <c r="B4" s="77">
        <f>D1_IncomeStatment!B9 / (('D1_Balance Sheet'!B11 - 'D1_Balance Sheet'!B26 + 'D1_Balance Sheet'!C11 - 'D1_Balance Sheet'!C26) / 2)</f>
        <v>14.288646421486343</v>
      </c>
      <c r="C4" s="77">
        <f>D1_IncomeStatment!C9 / (('D1_Balance Sheet'!C11 - 'D1_Balance Sheet'!C26 + 'D1_Balance Sheet'!D11 - 'D1_Balance Sheet'!D26) / 2)</f>
        <v>9.8491681086117389</v>
      </c>
      <c r="D4" s="77">
        <f>D1_IncomeStatment!D9 / (('D1_Balance Sheet'!D11 - 'D1_Balance Sheet'!D26 + 'D1_Balance Sheet'!E11 - 'D1_Balance Sheet'!E26) / 2)</f>
        <v>8.9075328614762395</v>
      </c>
      <c r="E4" s="77">
        <f>D1_IncomeStatment!E9 / (('D1_Balance Sheet'!E11 - 'D1_Balance Sheet'!E26 + 'D1_Balance Sheet'!F11 - 'D1_Balance Sheet'!F26) / 2)</f>
        <v>8.3453628659679513</v>
      </c>
      <c r="F4" s="77">
        <f>D1_IncomeStatment!F9 / (('D1_Balance Sheet'!F11 - 'D1_Balance Sheet'!F26 + 'D1_Balance Sheet'!G11 - 'D1_Balance Sheet'!G26) / 2)</f>
        <v>7.2098040771000234</v>
      </c>
      <c r="G4" s="73"/>
      <c r="I4" t="s">
        <v>323</v>
      </c>
    </row>
    <row r="5" spans="1:9">
      <c r="A5" t="s">
        <v>324</v>
      </c>
      <c r="B5" s="75">
        <f>D1_IncomeStatment!B9 / AVERAGE('D1_Balance Sheet'!B13, 'D1_Balance Sheet'!C13)</f>
        <v>4.7280094930317107</v>
      </c>
      <c r="C5" s="75">
        <f>D1_IncomeStatment!C9 / AVERAGE('D1_Balance Sheet'!C13, 'D1_Balance Sheet'!D13)</f>
        <v>4.4711597723235323</v>
      </c>
      <c r="D5" s="75">
        <f>D1_IncomeStatment!D9 / AVERAGE('D1_Balance Sheet'!D13, 'D1_Balance Sheet'!E13)</f>
        <v>4.5127423609866044</v>
      </c>
      <c r="E5" s="75">
        <f>D1_IncomeStatment!E9 / AVERAGE('D1_Balance Sheet'!E13, 'D1_Balance Sheet'!F13)</f>
        <v>4.2486156658244179</v>
      </c>
      <c r="F5" s="75">
        <f>D1_IncomeStatment!F9 / AVERAGE('D1_Balance Sheet'!F13, 'D1_Balance Sheet'!G13)</f>
        <v>3.6738702810487456</v>
      </c>
      <c r="G5" s="1"/>
      <c r="I5" t="s">
        <v>325</v>
      </c>
    </row>
    <row r="6" spans="1:9">
      <c r="A6" s="13" t="s">
        <v>326</v>
      </c>
      <c r="B6" s="77">
        <f>D1_IncomeStatment!B9 / AVERAGE('D1_Balance Sheet'!B19, 'D1_Balance Sheet'!C19)</f>
        <v>0.65209382334301369</v>
      </c>
      <c r="C6" s="77">
        <f>D1_IncomeStatment!C9 / AVERAGE('D1_Balance Sheet'!C19, 'D1_Balance Sheet'!D19)</f>
        <v>0.66245304437194941</v>
      </c>
      <c r="D6" s="77">
        <f>D1_IncomeStatment!D9 / AVERAGE('D1_Balance Sheet'!D19, 'D1_Balance Sheet'!E19)</f>
        <v>0.66588434487163495</v>
      </c>
      <c r="E6" s="77">
        <f>D1_IncomeStatment!E9 / AVERAGE('D1_Balance Sheet'!E19, 'D1_Balance Sheet'!F19)</f>
        <v>0.61630393882854795</v>
      </c>
      <c r="F6" s="77">
        <f>D1_IncomeStatment!F9 / AVERAGE('D1_Balance Sheet'!F19, 'D1_Balance Sheet'!G19)</f>
        <v>0.52009170392297477</v>
      </c>
      <c r="G6" s="14"/>
      <c r="I6" t="s">
        <v>327</v>
      </c>
    </row>
    <row r="7" spans="1:9">
      <c r="A7" s="1"/>
      <c r="B7" s="75"/>
      <c r="C7" s="75"/>
      <c r="D7" s="75"/>
      <c r="E7" s="75"/>
      <c r="F7" s="75"/>
      <c r="G7" s="1"/>
    </row>
    <row r="8" spans="1:9">
      <c r="A8" s="22" t="s">
        <v>328</v>
      </c>
      <c r="B8" s="75"/>
      <c r="C8" s="75"/>
      <c r="D8" s="75"/>
      <c r="E8" s="75"/>
      <c r="F8" s="75"/>
      <c r="G8" s="1"/>
    </row>
    <row r="9" spans="1:9">
      <c r="A9" s="13" t="s">
        <v>329</v>
      </c>
      <c r="B9" s="77">
        <f>ABS(D1_IncomeStatment!B11) / AVERAGE('D1_Balance Sheet'!B7, 'D1_Balance Sheet'!C7)</f>
        <v>9.9583278211403616</v>
      </c>
      <c r="C9" s="77">
        <f>ABS(D1_IncomeStatment!C11) / AVERAGE('D1_Balance Sheet'!C7, 'D1_Balance Sheet'!D7)</f>
        <v>10.354486634860466</v>
      </c>
      <c r="D9" s="77">
        <f>ABS(D1_IncomeStatment!D11) / AVERAGE('D1_Balance Sheet'!D7, 'D1_Balance Sheet'!E7)</f>
        <v>10.127476371464128</v>
      </c>
      <c r="E9" s="77">
        <f>ABS(D1_IncomeStatment!E11) / AVERAGE('D1_Balance Sheet'!E7, 'D1_Balance Sheet'!F7)</f>
        <v>10.280895008605851</v>
      </c>
      <c r="F9" s="77">
        <f>ABS(D1_IncomeStatment!F11) / AVERAGE('D1_Balance Sheet'!F7, 'D1_Balance Sheet'!G7)</f>
        <v>10.025007650942159</v>
      </c>
      <c r="G9" s="14"/>
      <c r="I9" t="s">
        <v>330</v>
      </c>
    </row>
    <row r="10" spans="1:9">
      <c r="A10" t="s">
        <v>331</v>
      </c>
      <c r="B10" s="75">
        <f>365 / B9</f>
        <v>36.652739953503826</v>
      </c>
      <c r="C10" s="75">
        <f t="shared" ref="C10:F10" si="0">365 / C9</f>
        <v>35.250419733138088</v>
      </c>
      <c r="D10" s="75">
        <f t="shared" si="0"/>
        <v>36.040567917635336</v>
      </c>
      <c r="E10" s="75">
        <f t="shared" si="0"/>
        <v>35.502745596999937</v>
      </c>
      <c r="F10" s="75">
        <f t="shared" si="0"/>
        <v>36.408949769299873</v>
      </c>
      <c r="G10" s="1"/>
      <c r="I10" t="s">
        <v>332</v>
      </c>
    </row>
    <row r="11" spans="1:9">
      <c r="B11" s="75"/>
      <c r="C11" s="75"/>
      <c r="D11" s="75"/>
      <c r="E11" s="75"/>
      <c r="F11" s="75"/>
      <c r="G11" s="1"/>
    </row>
    <row r="12" spans="1:9">
      <c r="A12" s="13" t="s">
        <v>333</v>
      </c>
      <c r="B12" s="77">
        <f>D1_IncomeStatment!B9 / AVERAGE('D1_Balance Sheet'!B6, 'D1_Balance Sheet'!C6)</f>
        <v>12.434314929783207</v>
      </c>
      <c r="C12" s="77">
        <f>D1_IncomeStatment!C9 / AVERAGE('D1_Balance Sheet'!C6, 'D1_Balance Sheet'!D6)</f>
        <v>12.201028888009498</v>
      </c>
      <c r="D12" s="77">
        <f>D1_IncomeStatment!D9 / AVERAGE('D1_Balance Sheet'!D6, 'D1_Balance Sheet'!E6)</f>
        <v>11.247430577721033</v>
      </c>
      <c r="E12" s="77">
        <f>D1_IncomeStatment!E9 / AVERAGE('D1_Balance Sheet'!E6, 'D1_Balance Sheet'!F6)</f>
        <v>11.665153695708328</v>
      </c>
      <c r="F12" s="77">
        <f>D1_IncomeStatment!F9 / AVERAGE('D1_Balance Sheet'!F6, 'D1_Balance Sheet'!G6)</f>
        <v>12.764218508636427</v>
      </c>
      <c r="G12" s="14"/>
      <c r="I12" t="s">
        <v>334</v>
      </c>
    </row>
    <row r="13" spans="1:9">
      <c r="A13" t="s">
        <v>335</v>
      </c>
      <c r="B13" s="75">
        <f>365 / B12</f>
        <v>29.354250882429902</v>
      </c>
      <c r="C13" s="75">
        <f t="shared" ref="C13:F13" si="1">365 / C12</f>
        <v>29.91550985988583</v>
      </c>
      <c r="D13" s="75">
        <f t="shared" si="1"/>
        <v>32.451856224211227</v>
      </c>
      <c r="E13" s="75">
        <f t="shared" si="1"/>
        <v>31.289772044262513</v>
      </c>
      <c r="F13" s="75">
        <f t="shared" si="1"/>
        <v>28.595561863269303</v>
      </c>
      <c r="G13" s="1"/>
      <c r="I13" t="s">
        <v>336</v>
      </c>
    </row>
    <row r="14" spans="1:9">
      <c r="B14" s="74"/>
      <c r="C14" s="74"/>
      <c r="D14" s="74"/>
      <c r="E14" s="74"/>
      <c r="F14" s="74"/>
      <c r="G14" s="1"/>
    </row>
    <row r="15" spans="1:9">
      <c r="A15" s="13" t="s">
        <v>337</v>
      </c>
      <c r="B15" s="77">
        <f>(ABS(D1_IncomeStatment!B11) + 'D1_Balance Sheet'!B7 - 'D1_Balance Sheet'!C7) / AVERAGE('D1_Balance Sheet'!B24, 'D1_Balance Sheet'!C24)</f>
        <v>6.0429741474257561</v>
      </c>
      <c r="C15" s="77">
        <f>(ABS(D1_IncomeStatment!C11) + 'D1_Balance Sheet'!C7 - 'D1_Balance Sheet'!D7) / AVERAGE('D1_Balance Sheet'!C24, 'D1_Balance Sheet'!D24)</f>
        <v>6.2942537909018359</v>
      </c>
      <c r="D15" s="77">
        <f>(ABS(D1_IncomeStatment!D11) + 'D1_Balance Sheet'!D7 - 'D1_Balance Sheet'!E7) / AVERAGE('D1_Balance Sheet'!D24, 'D1_Balance Sheet'!E24)</f>
        <v>5.8965056107913254</v>
      </c>
      <c r="E15" s="77">
        <f>(ABS(D1_IncomeStatment!E11) + 'D1_Balance Sheet'!E7 - 'D1_Balance Sheet'!F7) / AVERAGE('D1_Balance Sheet'!E24, 'D1_Balance Sheet'!F24)</f>
        <v>5.6892855653334449</v>
      </c>
      <c r="F15" s="77">
        <f>(ABS(D1_IncomeStatment!F11) + 'D1_Balance Sheet'!F7 - 'D1_Balance Sheet'!G7) / AVERAGE('D1_Balance Sheet'!F24, 'D1_Balance Sheet'!G24)</f>
        <v>5.2031513029425627</v>
      </c>
      <c r="G15" s="14"/>
      <c r="I15" t="s">
        <v>338</v>
      </c>
    </row>
    <row r="16" spans="1:9">
      <c r="A16" t="s">
        <v>339</v>
      </c>
      <c r="B16" s="75">
        <f>365 / B15</f>
        <v>60.400721746507251</v>
      </c>
      <c r="C16" s="75">
        <f t="shared" ref="C16:F16" si="2">365 / C15</f>
        <v>57.989399875740169</v>
      </c>
      <c r="D16" s="75">
        <f t="shared" si="2"/>
        <v>61.901068885952625</v>
      </c>
      <c r="E16" s="75">
        <f t="shared" si="2"/>
        <v>64.155682784505757</v>
      </c>
      <c r="F16" s="75">
        <f t="shared" si="2"/>
        <v>70.149795527487314</v>
      </c>
      <c r="G16" s="1"/>
      <c r="I16" t="s">
        <v>340</v>
      </c>
    </row>
    <row r="17" spans="1:7">
      <c r="B17" s="42"/>
      <c r="C17" s="42"/>
      <c r="D17" s="42"/>
      <c r="E17" s="42"/>
      <c r="F17" s="42"/>
    </row>
    <row r="18" spans="1:7">
      <c r="A18" s="19" t="s">
        <v>341</v>
      </c>
      <c r="B18" s="76">
        <f>B10 + B13 - B16</f>
        <v>5.6062690894264691</v>
      </c>
      <c r="C18" s="76">
        <f t="shared" ref="C18:F18" si="3">C10 + C13 - C16</f>
        <v>7.1765297172837492</v>
      </c>
      <c r="D18" s="76">
        <f t="shared" si="3"/>
        <v>6.5913552558939301</v>
      </c>
      <c r="E18" s="76">
        <f t="shared" si="3"/>
        <v>2.6368348567566926</v>
      </c>
      <c r="F18" s="76">
        <f t="shared" si="3"/>
        <v>-5.145283894918137</v>
      </c>
      <c r="G18" s="19"/>
    </row>
    <row r="19" spans="1:7">
      <c r="A19" s="1"/>
      <c r="B19" s="1"/>
      <c r="C19" s="1"/>
      <c r="D19" s="1"/>
      <c r="E19" s="1"/>
      <c r="F19" s="1"/>
      <c r="G19" s="1"/>
    </row>
  </sheetData>
  <pageMargins left="0.7" right="0.7" top="0.75" bottom="0.75" header="0.3" footer="0.3"/>
  <pageSetup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79998168889431442"/>
  </sheetPr>
  <dimension ref="A1:H80"/>
  <sheetViews>
    <sheetView topLeftCell="G13" workbookViewId="0">
      <selection activeCell="C31" sqref="C31:H31"/>
    </sheetView>
  </sheetViews>
  <sheetFormatPr defaultColWidth="8.85546875" defaultRowHeight="15"/>
  <cols>
    <col min="1" max="1" width="56.140625" bestFit="1" customWidth="1"/>
    <col min="2" max="2" width="16.42578125" customWidth="1"/>
    <col min="3" max="7" width="14.42578125" customWidth="1"/>
  </cols>
  <sheetData>
    <row r="1" spans="1:7">
      <c r="A1" t="s">
        <v>88</v>
      </c>
    </row>
    <row r="2" spans="1:7">
      <c r="B2" s="8" t="s">
        <v>16</v>
      </c>
      <c r="C2" s="8" t="s">
        <v>17</v>
      </c>
      <c r="D2" s="8" t="s">
        <v>18</v>
      </c>
      <c r="E2" s="8" t="s">
        <v>19</v>
      </c>
      <c r="F2" s="8" t="s">
        <v>20</v>
      </c>
      <c r="G2" s="8" t="s">
        <v>21</v>
      </c>
    </row>
    <row r="3" spans="1:7">
      <c r="A3" s="8" t="s">
        <v>89</v>
      </c>
      <c r="B3" s="8">
        <v>2025</v>
      </c>
      <c r="C3" s="8">
        <v>2024</v>
      </c>
      <c r="D3" s="8">
        <v>2023</v>
      </c>
      <c r="E3" s="8">
        <v>2022</v>
      </c>
      <c r="F3" s="8">
        <v>2021</v>
      </c>
      <c r="G3" s="8">
        <v>2020</v>
      </c>
    </row>
    <row r="4" spans="1:7">
      <c r="A4" t="s">
        <v>90</v>
      </c>
      <c r="B4">
        <f>'D1_Balance Sheet'!B11/'D1_Balance Sheet'!B26</f>
        <v>1.0748280964400732</v>
      </c>
      <c r="C4">
        <f>'D1_Balance Sheet'!C11/'D1_Balance Sheet'!C26</f>
        <v>1.1648433917592342</v>
      </c>
      <c r="D4">
        <f>'D1_Balance Sheet'!D11/'D1_Balance Sheet'!D26</f>
        <v>1.1964917118909495</v>
      </c>
      <c r="E4">
        <f>'D1_Balance Sheet'!E11/'D1_Balance Sheet'!E26</f>
        <v>1.2024446142093201</v>
      </c>
      <c r="F4">
        <f>'D1_Balance Sheet'!F11/'D1_Balance Sheet'!F26</f>
        <v>1.2013623287444752</v>
      </c>
      <c r="G4">
        <f>'D1_Balance Sheet'!G11/'D1_Balance Sheet'!G26</f>
        <v>1.2011688204790518</v>
      </c>
    </row>
    <row r="5" spans="1:7">
      <c r="A5" t="s">
        <v>91</v>
      </c>
      <c r="B5">
        <f>('D1_Balance Sheet'!B11-'D1_Balance Sheet'!B7)/'D1_Balance Sheet'!B26</f>
        <v>0.94178779702323967</v>
      </c>
      <c r="C5">
        <f>('D1_Balance Sheet'!C11-'D1_Balance Sheet'!C7)/'D1_Balance Sheet'!C26</f>
        <v>1.024930048007187</v>
      </c>
      <c r="D5">
        <f>('D1_Balance Sheet'!D11-'D1_Balance Sheet'!D7)/'D1_Balance Sheet'!D26</f>
        <v>1.042341747840561</v>
      </c>
      <c r="E5">
        <f>('D1_Balance Sheet'!E11-'D1_Balance Sheet'!E7)/'D1_Balance Sheet'!E26</f>
        <v>1.0570891747362336</v>
      </c>
      <c r="F5">
        <f>('D1_Balance Sheet'!F11-'D1_Balance Sheet'!F7)/'D1_Balance Sheet'!F26</f>
        <v>1.0683809670770554</v>
      </c>
      <c r="G5">
        <f>('D1_Balance Sheet'!G11-'D1_Balance Sheet'!G7)/'D1_Balance Sheet'!G26</f>
        <v>1.08996625236645</v>
      </c>
    </row>
    <row r="6" spans="1:7">
      <c r="A6" s="9" t="s">
        <v>92</v>
      </c>
      <c r="B6" s="9">
        <f>'D1_Balance Sheet'!B4/'D1_Balance Sheet'!B26</f>
        <v>0.20329010357733485</v>
      </c>
      <c r="C6" s="9">
        <f>'D1_Balance Sheet'!C4/'D1_Balance Sheet'!C26</f>
        <v>0.21462862276457761</v>
      </c>
      <c r="D6" s="9">
        <f>'D1_Balance Sheet'!D4/'D1_Balance Sheet'!D26</f>
        <v>0.24487102461317234</v>
      </c>
      <c r="E6" s="9">
        <f>'D1_Balance Sheet'!E4/'D1_Balance Sheet'!E26</f>
        <v>0.25947184770714182</v>
      </c>
      <c r="F6" s="9">
        <f>'D1_Balance Sheet'!F4/'D1_Balance Sheet'!F26</f>
        <v>0.22639346611262359</v>
      </c>
      <c r="G6" s="9">
        <f>'D1_Balance Sheet'!G4/'D1_Balance Sheet'!G26</f>
        <v>0.25972302247098528</v>
      </c>
    </row>
    <row r="9" spans="1:7">
      <c r="B9" s="8" t="s">
        <v>16</v>
      </c>
      <c r="C9" s="8" t="s">
        <v>17</v>
      </c>
      <c r="D9" s="8" t="s">
        <v>18</v>
      </c>
      <c r="E9" s="8" t="s">
        <v>19</v>
      </c>
      <c r="F9" s="8" t="s">
        <v>20</v>
      </c>
      <c r="G9" s="8" t="s">
        <v>21</v>
      </c>
    </row>
    <row r="10" spans="1:7">
      <c r="A10" s="8" t="s">
        <v>93</v>
      </c>
      <c r="B10" s="8">
        <v>2025</v>
      </c>
      <c r="C10" s="8">
        <v>2024</v>
      </c>
      <c r="D10" s="8">
        <v>2023</v>
      </c>
      <c r="E10" s="8">
        <v>2022</v>
      </c>
      <c r="F10" s="8">
        <v>2021</v>
      </c>
      <c r="G10" s="8">
        <v>2020</v>
      </c>
    </row>
    <row r="11" spans="1:7">
      <c r="A11" s="22" t="s">
        <v>342</v>
      </c>
    </row>
    <row r="12" spans="1:7">
      <c r="A12" t="s">
        <v>343</v>
      </c>
      <c r="B12">
        <f>('D1_Balance Sheet'!B43-'D1_Balance Sheet'!B42)/'D1_Balance Sheet'!B19</f>
        <v>0.87566745054641026</v>
      </c>
      <c r="C12">
        <f>('D1_Balance Sheet'!C43-'D1_Balance Sheet'!C42)/'D1_Balance Sheet'!C19</f>
        <v>0.84279232527805437</v>
      </c>
      <c r="D12">
        <f>('D1_Balance Sheet'!D43-'D1_Balance Sheet'!D42)/'D1_Balance Sheet'!D19</f>
        <v>0.84350005488273394</v>
      </c>
      <c r="E12">
        <f>('D1_Balance Sheet'!E43-'D1_Balance Sheet'!E42)/'D1_Balance Sheet'!E19</f>
        <v>0.83100936361788935</v>
      </c>
      <c r="F12">
        <f>('D1_Balance Sheet'!F43-'D1_Balance Sheet'!F42)/'D1_Balance Sheet'!F19</f>
        <v>0.81123582391503102</v>
      </c>
      <c r="G12">
        <f>('D1_Balance Sheet'!G43-'D1_Balance Sheet'!G42)/'D1_Balance Sheet'!G19</f>
        <v>0.88516843085972141</v>
      </c>
    </row>
    <row r="13" spans="1:7">
      <c r="A13" t="s">
        <v>95</v>
      </c>
      <c r="B13">
        <f>('D1_Balance Sheet'!B43-'D1_Balance Sheet'!B42)/'D1_Balance Sheet'!B42</f>
        <v>7.0429461504227859</v>
      </c>
      <c r="C13">
        <f>('D1_Balance Sheet'!C43-'D1_Balance Sheet'!C42)/'D1_Balance Sheet'!C42</f>
        <v>5.3610126017620159</v>
      </c>
      <c r="D13">
        <f>('D1_Balance Sheet'!D43-'D1_Balance Sheet'!D42)/'D1_Balance Sheet'!D42</f>
        <v>5.3897785986486806</v>
      </c>
      <c r="E13">
        <f>('D1_Balance Sheet'!E43-'D1_Balance Sheet'!E42)/'D1_Balance Sheet'!E42</f>
        <v>4.9174876277692983</v>
      </c>
      <c r="F13">
        <f>('D1_Balance Sheet'!F43-'D1_Balance Sheet'!F42)/'D1_Balance Sheet'!F42</f>
        <v>4.2976153671757453</v>
      </c>
      <c r="G13">
        <f>('D1_Balance Sheet'!G43-'D1_Balance Sheet'!G42)/'D1_Balance Sheet'!G42</f>
        <v>7.7084066471163242</v>
      </c>
    </row>
    <row r="14" spans="1:7">
      <c r="A14" t="s">
        <v>344</v>
      </c>
      <c r="B14">
        <f>('D1_Balance Sheet'!B43-'D1_Balance Sheet'!B42)/'D1_Balance Sheet'!B43</f>
        <v>0.87566745054641026</v>
      </c>
      <c r="C14">
        <f>('D1_Balance Sheet'!C43-'D1_Balance Sheet'!C42)/'D1_Balance Sheet'!C43</f>
        <v>0.84279232527805437</v>
      </c>
      <c r="D14">
        <f>('D1_Balance Sheet'!D43-'D1_Balance Sheet'!D42)/'D1_Balance Sheet'!D43</f>
        <v>0.84350005488273394</v>
      </c>
      <c r="E14">
        <f>('D1_Balance Sheet'!E43-'D1_Balance Sheet'!E42)/'D1_Balance Sheet'!E43</f>
        <v>0.83100936361788935</v>
      </c>
      <c r="F14">
        <f>('D1_Balance Sheet'!F43-'D1_Balance Sheet'!F42)/'D1_Balance Sheet'!F43</f>
        <v>0.81123582391503102</v>
      </c>
      <c r="G14">
        <f>('D1_Balance Sheet'!G43-'D1_Balance Sheet'!G42)/'D1_Balance Sheet'!G43</f>
        <v>0.88516843085972141</v>
      </c>
    </row>
    <row r="15" spans="1:7">
      <c r="A15" t="s">
        <v>98</v>
      </c>
      <c r="B15">
        <f>'D1_Balance Sheet'!B19/'D1_Balance Sheet'!B42</f>
        <v>8.0429461504227859</v>
      </c>
      <c r="C15">
        <f>'D1_Balance Sheet'!C19/'D1_Balance Sheet'!C42</f>
        <v>6.3610126017620159</v>
      </c>
      <c r="D15">
        <f>'D1_Balance Sheet'!D19/'D1_Balance Sheet'!D42</f>
        <v>6.3897785986486806</v>
      </c>
      <c r="E15">
        <f>'D1_Balance Sheet'!E19/'D1_Balance Sheet'!E42</f>
        <v>5.9174876277692983</v>
      </c>
      <c r="F15">
        <f>'D1_Balance Sheet'!F19/'D1_Balance Sheet'!F42</f>
        <v>5.2976153671757453</v>
      </c>
      <c r="G15">
        <f>'D1_Balance Sheet'!G19/'D1_Balance Sheet'!G42</f>
        <v>8.7084066471163251</v>
      </c>
    </row>
    <row r="17" spans="1:8">
      <c r="A17" s="22" t="s">
        <v>345</v>
      </c>
    </row>
    <row r="18" spans="1:8">
      <c r="A18" t="s">
        <v>346</v>
      </c>
      <c r="B18">
        <f>(D1_IncomeStatment!B22+D1_IncomeStatment!B17)/D1_IncomeStatment!B17</f>
        <v>2.658488714425908</v>
      </c>
      <c r="C18">
        <f>(D1_IncomeStatment!C22+D1_IncomeStatment!C17)/D1_IncomeStatment!C17</f>
        <v>4.6155874983515761E-2</v>
      </c>
      <c r="D18">
        <f>(D1_IncomeStatment!D22+D1_IncomeStatment!D17)/D1_IncomeStatment!D17</f>
        <v>0.37141498970052289</v>
      </c>
      <c r="E18">
        <f>(D1_IncomeStatment!E22+D1_IncomeStatment!E17)/D1_IncomeStatment!E17</f>
        <v>1.904619076184763</v>
      </c>
      <c r="F18">
        <f>(D1_IncomeStatment!F22+D1_IncomeStatment!F17)/D1_IncomeStatment!F17</f>
        <v>-5.3727598566308243</v>
      </c>
      <c r="G18">
        <f>(D1_IncomeStatment!G22+D1_IncomeStatment!G17)/D1_IncomeStatment!G17</f>
        <v>1.3280423280423281</v>
      </c>
    </row>
    <row r="19" spans="1:8">
      <c r="A19" s="9" t="s">
        <v>347</v>
      </c>
      <c r="B19" s="9"/>
      <c r="C19" s="9"/>
      <c r="D19" s="9"/>
      <c r="E19" s="9"/>
      <c r="F19" s="9"/>
      <c r="G19" s="9"/>
    </row>
    <row r="23" spans="1:8">
      <c r="C23" s="8" t="s">
        <v>16</v>
      </c>
      <c r="D23" s="8" t="s">
        <v>17</v>
      </c>
      <c r="E23" s="8" t="s">
        <v>18</v>
      </c>
      <c r="F23" s="8" t="s">
        <v>19</v>
      </c>
      <c r="G23" s="8" t="s">
        <v>20</v>
      </c>
      <c r="H23" s="8" t="s">
        <v>21</v>
      </c>
    </row>
    <row r="24" spans="1:8">
      <c r="A24" s="8" t="s">
        <v>348</v>
      </c>
      <c r="B24" s="8" t="s">
        <v>349</v>
      </c>
      <c r="C24" s="8">
        <v>2025</v>
      </c>
      <c r="D24" s="8">
        <v>2024</v>
      </c>
      <c r="E24" s="8">
        <v>2023</v>
      </c>
      <c r="F24" s="8">
        <v>2022</v>
      </c>
      <c r="G24" s="8">
        <v>2021</v>
      </c>
      <c r="H24" s="8">
        <v>2020</v>
      </c>
    </row>
    <row r="25" spans="1:8">
      <c r="A25" t="s">
        <v>350</v>
      </c>
      <c r="B25">
        <v>1.2</v>
      </c>
      <c r="C25">
        <f>(('D1_Balance Sheet'!B11-'D1_Balance Sheet'!B26)/'D1_Balance Sheet'!B19)*1.2</f>
        <v>3.5677133766772721E-2</v>
      </c>
      <c r="D25">
        <f>(('D1_Balance Sheet'!C11-'D1_Balance Sheet'!C26)/'D1_Balance Sheet'!C19)*1.2</f>
        <v>7.4117449052581372E-2</v>
      </c>
      <c r="E25">
        <f>(('D1_Balance Sheet'!D11-'D1_Balance Sheet'!D26)/'D1_Balance Sheet'!D19)*1.2</f>
        <v>8.759284329150048E-2</v>
      </c>
      <c r="F25">
        <f>(('D1_Balance Sheet'!E11-'D1_Balance Sheet'!E26)/'D1_Balance Sheet'!E19)*1.2</f>
        <v>9.196354598177299E-2</v>
      </c>
      <c r="G25">
        <f>(('D1_Balance Sheet'!F11-'D1_Balance Sheet'!F26)/'D1_Balance Sheet'!F19)*1.2</f>
        <v>8.5291108214834543E-2</v>
      </c>
      <c r="H25">
        <f>(('D1_Balance Sheet'!G11-'D1_Balance Sheet'!G26)/'D1_Balance Sheet'!G19)*1.2</f>
        <v>8.7788341733361766E-2</v>
      </c>
    </row>
    <row r="26" spans="1:8">
      <c r="A26" t="s">
        <v>351</v>
      </c>
      <c r="B26">
        <v>1.4</v>
      </c>
      <c r="C26">
        <f>('D1_Balance Sheet'!B40/'D1_Balance Sheet'!B43)*1.4</f>
        <v>0.10897496195877714</v>
      </c>
      <c r="D26">
        <f>('D1_Balance Sheet'!C40/'D1_Balance Sheet'!C43)*1.4</f>
        <v>0.16562644637372193</v>
      </c>
      <c r="E26">
        <f>('D1_Balance Sheet'!D40/'D1_Balance Sheet'!D43)*1.4</f>
        <v>0.15894259266034905</v>
      </c>
      <c r="F26">
        <f>('D1_Balance Sheet'!E40/'D1_Balance Sheet'!E43)*1.4</f>
        <v>0.17373341045161089</v>
      </c>
      <c r="G26">
        <f>('D1_Balance Sheet'!F40/'D1_Balance Sheet'!F43)*1.4</f>
        <v>0.194824051199253</v>
      </c>
      <c r="H26">
        <f>('D1_Balance Sheet'!G40/'D1_Balance Sheet'!G43)*1.4</f>
        <v>9.5562764488645924E-2</v>
      </c>
    </row>
    <row r="27" spans="1:8">
      <c r="A27" t="s">
        <v>352</v>
      </c>
      <c r="B27">
        <v>3.3</v>
      </c>
      <c r="C27">
        <f>((D1_IncomeStatment!B22+D1_IncomeStatment!B17)/'D1_Balance Sheet'!B19)*3.3</f>
        <v>-0.21641271268501866</v>
      </c>
      <c r="D27">
        <f>((D1_IncomeStatment!C22+D1_IncomeStatment!C17)/'D1_Balance Sheet'!C19)*3.3</f>
        <v>-4.0498464214084344E-3</v>
      </c>
      <c r="E27">
        <f>((D1_IncomeStatment!D22+D1_IncomeStatment!D17)/'D1_Balance Sheet'!D19)*3.3</f>
        <v>-2.8301928213384068E-2</v>
      </c>
      <c r="F27">
        <f>((D1_IncomeStatment!E22+D1_IncomeStatment!E17)/'D1_Balance Sheet'!E19)*3.3</f>
        <v>-8.1892576323646646E-2</v>
      </c>
      <c r="G27">
        <f>((D1_IncomeStatment!F22+D1_IncomeStatment!F17)/'D1_Balance Sheet'!F19)*3.3</f>
        <v>0.19245238975236834</v>
      </c>
      <c r="H27">
        <f>((D1_IncomeStatment!G22+D1_IncomeStatment!G17)/'D1_Balance Sheet'!G19)*3.3</f>
        <v>-5.5785917137180507E-2</v>
      </c>
    </row>
    <row r="28" spans="1:8">
      <c r="A28" t="s">
        <v>353</v>
      </c>
      <c r="B28">
        <v>0.6</v>
      </c>
      <c r="C28">
        <f>(55000/('D1_Balance Sheet'!B43-'D1_Balance Sheet'!B42))*0.6</f>
        <v>0.13032763577770054</v>
      </c>
      <c r="D28">
        <f>(55000/('D1_Balance Sheet'!C43-'D1_Balance Sheet'!C42))*0.6</f>
        <v>0.13729348771223285</v>
      </c>
      <c r="E28">
        <f>(55000/('D1_Balance Sheet'!D43-'D1_Balance Sheet'!D42))*0.6</f>
        <v>0.14314405062961694</v>
      </c>
      <c r="F28">
        <f>(55000/('D1_Balance Sheet'!E43-'D1_Balance Sheet'!E42))*0.6</f>
        <v>0.15519041393515862</v>
      </c>
      <c r="G28">
        <f>(55000/('D1_Balance Sheet'!F43-'D1_Balance Sheet'!F42))*0.6</f>
        <v>0.15826123654779486</v>
      </c>
      <c r="H28">
        <f>(55000/('D1_Balance Sheet'!G43-'D1_Balance Sheet'!G42))*0.6</f>
        <v>0.13949300632791001</v>
      </c>
    </row>
    <row r="29" spans="1:8" ht="15.95" customHeight="1" thickBot="1">
      <c r="A29" s="24" t="s">
        <v>354</v>
      </c>
      <c r="B29" s="24">
        <v>1</v>
      </c>
      <c r="C29" s="24">
        <f>D1_IncomeStatment!B9/'D1_Balance Sheet'!B19</f>
        <v>0.64762415271821827</v>
      </c>
      <c r="D29" s="24">
        <f>D1_IncomeStatment!C9/'D1_Balance Sheet'!C19</f>
        <v>0.64864864864864868</v>
      </c>
      <c r="E29" s="24">
        <f>D1_IncomeStatment!D9/'D1_Balance Sheet'!D19</f>
        <v>0.64465625114339031</v>
      </c>
      <c r="F29" s="24">
        <f>D1_IncomeStatment!E9/'D1_Balance Sheet'!E19</f>
        <v>0.61769004705257069</v>
      </c>
      <c r="G29" s="24">
        <f>D1_IncomeStatment!F9/'D1_Balance Sheet'!F19</f>
        <v>0.53043748905791044</v>
      </c>
      <c r="H29" s="24">
        <f>D1_IncomeStatment!G9/'D1_Balance Sheet'!G19</f>
        <v>0.47572971739236175</v>
      </c>
    </row>
    <row r="30" spans="1:8" ht="15.95" customHeight="1" thickTop="1"/>
    <row r="31" spans="1:8">
      <c r="A31" s="19" t="s">
        <v>355</v>
      </c>
      <c r="B31" s="21"/>
      <c r="C31" s="19">
        <f>SUM(C25:C29)</f>
        <v>0.70619117153644995</v>
      </c>
      <c r="D31" s="19">
        <f t="shared" ref="D31:H31" si="0">SUM(D25:D29)</f>
        <v>1.0216361853657765</v>
      </c>
      <c r="E31" s="19">
        <f t="shared" si="0"/>
        <v>1.0060338095114727</v>
      </c>
      <c r="F31" s="19">
        <f t="shared" si="0"/>
        <v>0.95668484109746654</v>
      </c>
      <c r="G31" s="19">
        <f t="shared" si="0"/>
        <v>1.1612662747721612</v>
      </c>
      <c r="H31" s="19">
        <f t="shared" si="0"/>
        <v>0.74278791280509893</v>
      </c>
    </row>
    <row r="34" spans="1:7">
      <c r="A34" t="s">
        <v>356</v>
      </c>
    </row>
    <row r="35" spans="1:7">
      <c r="B35" s="8" t="s">
        <v>16</v>
      </c>
      <c r="C35" s="8" t="s">
        <v>17</v>
      </c>
      <c r="D35" s="8" t="s">
        <v>18</v>
      </c>
      <c r="E35" s="8" t="s">
        <v>19</v>
      </c>
      <c r="F35" s="8" t="s">
        <v>20</v>
      </c>
      <c r="G35" s="8" t="s">
        <v>21</v>
      </c>
    </row>
    <row r="36" spans="1:7" ht="14.1" customHeight="1">
      <c r="A36" s="8" t="s">
        <v>15</v>
      </c>
      <c r="B36" s="8">
        <v>2025</v>
      </c>
      <c r="C36" s="8">
        <v>2024</v>
      </c>
      <c r="D36" s="8">
        <v>2023</v>
      </c>
      <c r="E36" s="8">
        <v>2022</v>
      </c>
      <c r="F36" s="8">
        <v>2021</v>
      </c>
      <c r="G36" s="8">
        <v>2020</v>
      </c>
    </row>
    <row r="37" spans="1:7" ht="15.95" customHeight="1">
      <c r="A37" s="20" t="s">
        <v>357</v>
      </c>
      <c r="B37" s="78">
        <f>(D1_IncomeStatment!B22+D1_IncomeStatment!B17)/(('D1_Balance Sheet'!B19+'D1_Balance Sheet'!C19)/2)</f>
        <v>-6.603221695255207E-2</v>
      </c>
      <c r="C37" s="78">
        <f>(D1_IncomeStatment!C22+D1_IncomeStatment!C17)/(('D1_Balance Sheet'!C19+'D1_Balance Sheet'!D19)/2)</f>
        <v>-1.253343742054696E-3</v>
      </c>
      <c r="D37" s="78">
        <f>(D1_IncomeStatment!D22+D1_IncomeStatment!D17)/(('D1_Balance Sheet'!D19+'D1_Balance Sheet'!E19)/2)</f>
        <v>-8.8587550123395194E-3</v>
      </c>
      <c r="E37" s="78">
        <f>(D1_IncomeStatment!E22+D1_IncomeStatment!E17)/(('D1_Balance Sheet'!E19+'D1_Balance Sheet'!F19)/2)</f>
        <v>-2.4760244794987122E-2</v>
      </c>
      <c r="F37" s="78">
        <f>(D1_IncomeStatment!F22+D1_IncomeStatment!F17)/(('D1_Balance Sheet'!F19+'D1_Balance Sheet'!G19)/2)</f>
        <v>5.718143949219525E-2</v>
      </c>
      <c r="G37" s="78">
        <f>(D1_IncomeStatment!G22+D1_IncomeStatment!G17)/(('D1_Balance Sheet'!G19+'D1_Balance Sheet'!H19)/2)</f>
        <v>-3.3809646749806369E-2</v>
      </c>
    </row>
    <row r="38" spans="1:7" ht="15.95" customHeight="1">
      <c r="A38" s="23" t="s">
        <v>358</v>
      </c>
      <c r="B38" t="s">
        <v>359</v>
      </c>
      <c r="C38" t="s">
        <v>359</v>
      </c>
      <c r="D38" t="s">
        <v>359</v>
      </c>
      <c r="E38" t="s">
        <v>359</v>
      </c>
      <c r="F38" t="s">
        <v>359</v>
      </c>
      <c r="G38" t="s">
        <v>359</v>
      </c>
    </row>
    <row r="39" spans="1:7">
      <c r="A39" s="23"/>
    </row>
    <row r="40" spans="1:7" ht="15.95" customHeight="1">
      <c r="A40" s="20" t="s">
        <v>360</v>
      </c>
      <c r="B40" s="78">
        <f>D1_IncomeStatment!B22/D1_IncomeStatment!B9</f>
        <v>-6.3171834866794466E-2</v>
      </c>
      <c r="C40" s="78">
        <f>D1_IncomeStatment!C22/D1_IncomeStatment!C9</f>
        <v>3.9098988064348729E-2</v>
      </c>
      <c r="D40" s="78">
        <f>D1_IncomeStatment!D22/D1_IncomeStatment!D9</f>
        <v>2.2515338467912663E-2</v>
      </c>
      <c r="E40" s="78">
        <f>D1_IncomeStatment!E22/D1_IncomeStatment!E9</f>
        <v>-1.9081723681962835E-2</v>
      </c>
      <c r="F40" s="78">
        <f>D1_IncomeStatment!F22/D1_IncomeStatment!F9</f>
        <v>0.13040831444686485</v>
      </c>
      <c r="G40" s="78">
        <f>D1_IncomeStatment!G22/D1_IncomeStatment!G9</f>
        <v>-8.7774491914679419E-3</v>
      </c>
    </row>
    <row r="41" spans="1:7" ht="15.95" customHeight="1">
      <c r="A41" s="23" t="s">
        <v>358</v>
      </c>
      <c r="B41" t="s">
        <v>359</v>
      </c>
      <c r="C41" t="s">
        <v>359</v>
      </c>
      <c r="D41" t="s">
        <v>359</v>
      </c>
      <c r="E41" t="s">
        <v>359</v>
      </c>
      <c r="F41" t="s">
        <v>361</v>
      </c>
      <c r="G41" t="s">
        <v>359</v>
      </c>
    </row>
    <row r="42" spans="1:7">
      <c r="A42" s="23"/>
    </row>
    <row r="43" spans="1:7" ht="15.95" customHeight="1">
      <c r="A43" s="25" t="s">
        <v>362</v>
      </c>
      <c r="B43" s="78">
        <f>(D1_IncomeStatment!B22+D1_IncomeStatment!B17)/D1_IncomeStatment!B9</f>
        <v>-0.1012618347065954</v>
      </c>
      <c r="C43" s="78">
        <f>(D1_IncomeStatment!C22+D1_IncomeStatment!C17)/D1_IncomeStatment!C9</f>
        <v>-1.8919737069711122E-3</v>
      </c>
      <c r="D43" s="78">
        <f>(D1_IncomeStatment!D22+D1_IncomeStatment!D17)/D1_IncomeStatment!D9</f>
        <v>-1.3303744232111742E-2</v>
      </c>
      <c r="E43" s="78">
        <f>(D1_IncomeStatment!E22+D1_IncomeStatment!E17)/D1_IncomeStatment!E9</f>
        <v>-4.0175379768058357E-2</v>
      </c>
      <c r="F43" s="78">
        <f>(D1_IncomeStatment!F22+D1_IncomeStatment!F17)/D1_IncomeStatment!F9</f>
        <v>0.10994491752297549</v>
      </c>
      <c r="G43" s="78">
        <f>(D1_IncomeStatment!G22+D1_IncomeStatment!G17)/D1_IncomeStatment!G9</f>
        <v>-3.5534512049329892E-2</v>
      </c>
    </row>
    <row r="44" spans="1:7" ht="15.95" customHeight="1">
      <c r="A44" s="23" t="s">
        <v>358</v>
      </c>
      <c r="B44" t="s">
        <v>359</v>
      </c>
      <c r="C44" t="s">
        <v>359</v>
      </c>
      <c r="D44" t="s">
        <v>359</v>
      </c>
      <c r="E44" t="s">
        <v>359</v>
      </c>
      <c r="F44" t="s">
        <v>363</v>
      </c>
      <c r="G44" t="s">
        <v>359</v>
      </c>
    </row>
    <row r="45" spans="1:7" ht="12.6" customHeight="1">
      <c r="A45" s="4"/>
    </row>
    <row r="46" spans="1:7" ht="15.95" customHeight="1">
      <c r="A46" s="20" t="s">
        <v>364</v>
      </c>
      <c r="B46" s="79">
        <f>(D1_IncomeStatment!B22+D1_IncomeStatment!B17)/D1_IncomeStatment!B17</f>
        <v>2.658488714425908</v>
      </c>
      <c r="C46" s="13">
        <f>(D1_IncomeStatment!C22+D1_IncomeStatment!C17)/D1_IncomeStatment!C17</f>
        <v>4.6155874983515761E-2</v>
      </c>
      <c r="D46" s="13">
        <f>(D1_IncomeStatment!D22+D1_IncomeStatment!D17)/D1_IncomeStatment!D17</f>
        <v>0.37141498970052289</v>
      </c>
      <c r="E46" s="13">
        <f>(D1_IncomeStatment!E22+D1_IncomeStatment!E17)/D1_IncomeStatment!E17</f>
        <v>1.904619076184763</v>
      </c>
      <c r="F46" s="13">
        <f>(D1_IncomeStatment!F22+D1_IncomeStatment!F17)/D1_IncomeStatment!F17</f>
        <v>-5.3727598566308243</v>
      </c>
      <c r="G46" s="13">
        <f>(D1_IncomeStatment!G22+D1_IncomeStatment!G17)/D1_IncomeStatment!G17</f>
        <v>1.3280423280423281</v>
      </c>
    </row>
    <row r="47" spans="1:7" ht="15.95" customHeight="1">
      <c r="A47" s="23" t="s">
        <v>358</v>
      </c>
      <c r="B47" t="s">
        <v>363</v>
      </c>
      <c r="C47" t="s">
        <v>359</v>
      </c>
      <c r="D47" t="s">
        <v>359</v>
      </c>
      <c r="E47" t="s">
        <v>359</v>
      </c>
      <c r="F47" t="s">
        <v>359</v>
      </c>
      <c r="G47" t="s">
        <v>359</v>
      </c>
    </row>
    <row r="48" spans="1:7">
      <c r="A48" s="4"/>
    </row>
    <row r="49" spans="1:7" ht="15.95" customHeight="1">
      <c r="A49" s="20" t="s">
        <v>365</v>
      </c>
      <c r="B49" s="13">
        <f>(D1_IncomeStatment!B26+D1_StatmentofCFs!B7+D1_IncomeStatment!B17)/D1_IncomeStatment!B17</f>
        <v>2.4048787326510586</v>
      </c>
      <c r="C49" s="13">
        <f>(D1_IncomeStatment!C26+D1_StatmentofCFs!C7+D1_IncomeStatment!C17)/D1_IncomeStatment!C17</f>
        <v>0.44889885269682184</v>
      </c>
      <c r="D49" s="13">
        <f>(D1_IncomeStatment!D26+D1_StatmentofCFs!D7+D1_IncomeStatment!D17)/D1_IncomeStatment!D17</f>
        <v>0.49611788939946128</v>
      </c>
      <c r="E49" s="13">
        <f>(D1_IncomeStatment!E26+D1_StatmentofCFs!E7+D1_IncomeStatment!E17)/D1_IncomeStatment!E17</f>
        <v>1.9388122375524894</v>
      </c>
      <c r="F49" s="13">
        <f>(D1_IncomeStatment!F26+D1_StatmentofCFs!F7+D1_IncomeStatment!F17)/D1_IncomeStatment!F17</f>
        <v>-4.9422939068100362</v>
      </c>
      <c r="G49" s="13">
        <f>(D1_IncomeStatment!G26+D1_StatmentofCFs!G7+D1_IncomeStatment!G17)/D1_IncomeStatment!G17</f>
        <v>1.7563198118753673</v>
      </c>
    </row>
    <row r="50" spans="1:7" ht="15.95" customHeight="1">
      <c r="A50" s="23" t="s">
        <v>358</v>
      </c>
      <c r="B50" t="s">
        <v>359</v>
      </c>
      <c r="C50" t="s">
        <v>359</v>
      </c>
      <c r="D50" t="s">
        <v>359</v>
      </c>
      <c r="E50" t="s">
        <v>359</v>
      </c>
      <c r="F50" t="s">
        <v>359</v>
      </c>
      <c r="G50" t="s">
        <v>359</v>
      </c>
    </row>
    <row r="51" spans="1:7">
      <c r="A51" s="4"/>
    </row>
    <row r="52" spans="1:7" ht="15.95" customHeight="1">
      <c r="A52" s="20" t="s">
        <v>366</v>
      </c>
      <c r="B52" s="13">
        <f>('D1_Balance Sheet'!B43-'D1_Balance Sheet'!B42)/(D1_IncomeStatment!B22+D1_IncomeStatment!B17)</f>
        <v>-13.352739545430575</v>
      </c>
      <c r="C52" s="13">
        <f>('D1_Balance Sheet'!C43-'D1_Balance Sheet'!C42)/(D1_IncomeStatment!C22+D1_IncomeStatment!C17)</f>
        <v>-686.74571428571426</v>
      </c>
      <c r="D52" s="13">
        <f>('D1_Balance Sheet'!D43-'D1_Balance Sheet'!D42)/(D1_IncomeStatment!D22+D1_IncomeStatment!D17)</f>
        <v>-98.351962457337891</v>
      </c>
      <c r="E52" s="13">
        <f>('D1_Balance Sheet'!E43-'D1_Balance Sheet'!E42)/(D1_IncomeStatment!E22+D1_IncomeStatment!E17)</f>
        <v>-33.486929133858268</v>
      </c>
      <c r="F52" s="13">
        <f>('D1_Balance Sheet'!F43-'D1_Balance Sheet'!F42)/(D1_IncomeStatment!F22+D1_IncomeStatment!F17)</f>
        <v>13.910340226817878</v>
      </c>
      <c r="G52" s="13">
        <f>('D1_Balance Sheet'!G43-'D1_Balance Sheet'!G42)/(D1_IncomeStatment!G22+D1_IncomeStatment!G17)</f>
        <v>-52.361885790172643</v>
      </c>
    </row>
    <row r="53" spans="1:7" ht="15.95" customHeight="1">
      <c r="A53" s="23" t="s">
        <v>358</v>
      </c>
      <c r="B53" t="s">
        <v>359</v>
      </c>
      <c r="C53" t="s">
        <v>359</v>
      </c>
      <c r="D53" t="s">
        <v>359</v>
      </c>
      <c r="E53" t="s">
        <v>359</v>
      </c>
      <c r="F53" t="s">
        <v>359</v>
      </c>
      <c r="G53" t="s">
        <v>359</v>
      </c>
    </row>
    <row r="54" spans="1:7">
      <c r="A54" s="4"/>
    </row>
    <row r="55" spans="1:7" ht="48" customHeight="1">
      <c r="A55" s="20" t="s">
        <v>367</v>
      </c>
      <c r="B55" s="78">
        <f>'D1_Balance Sheet'!B44/('D1_Balance Sheet'!B29+'D1_Balance Sheet'!B44+'D1_Balance Sheet'!B30+'D1_Balance Sheet'!B42)</f>
        <v>0.87150222687253476</v>
      </c>
      <c r="C55" s="78">
        <f>'D1_Balance Sheet'!C44/('D1_Balance Sheet'!C29+'D1_Balance Sheet'!C44+'D1_Balance Sheet'!C30+'D1_Balance Sheet'!C42)</f>
        <v>0.83956296521395912</v>
      </c>
      <c r="D55" s="78">
        <f>'D1_Balance Sheet'!D44/('D1_Balance Sheet'!D29+'D1_Balance Sheet'!D44+'D1_Balance Sheet'!D30+'D1_Balance Sheet'!D42)</f>
        <v>0.84033316322811114</v>
      </c>
      <c r="E55" s="78">
        <f>'D1_Balance Sheet'!E44/('D1_Balance Sheet'!E29+'D1_Balance Sheet'!E44+'D1_Balance Sheet'!E30+'D1_Balance Sheet'!E42)</f>
        <v>0.82624981543219955</v>
      </c>
      <c r="F55" s="78">
        <f>'D1_Balance Sheet'!F44/('D1_Balance Sheet'!F29+'D1_Balance Sheet'!F44+'D1_Balance Sheet'!F30+'D1_Balance Sheet'!F42)</f>
        <v>0.80595549611740924</v>
      </c>
      <c r="G55" s="78">
        <f>'D1_Balance Sheet'!G44/('D1_Balance Sheet'!G29+'D1_Balance Sheet'!G44+'D1_Balance Sheet'!G30+'D1_Balance Sheet'!G42)</f>
        <v>0.88299119140041804</v>
      </c>
    </row>
    <row r="56" spans="1:7" ht="15.95" customHeight="1">
      <c r="A56" s="23" t="s">
        <v>358</v>
      </c>
      <c r="B56" t="s">
        <v>363</v>
      </c>
      <c r="C56" t="s">
        <v>363</v>
      </c>
      <c r="D56" t="s">
        <v>363</v>
      </c>
      <c r="E56" t="s">
        <v>363</v>
      </c>
      <c r="F56" t="s">
        <v>363</v>
      </c>
      <c r="G56" t="s">
        <v>363</v>
      </c>
    </row>
    <row r="57" spans="1:7">
      <c r="A57" s="4"/>
    </row>
    <row r="58" spans="1:7" ht="15.95" customHeight="1">
      <c r="A58" s="20" t="s">
        <v>368</v>
      </c>
      <c r="B58" s="78">
        <f>(D1_StatmentofCFs!B4+D1_StatmentofCFs!B5)/('D1_Balance Sheet'!B43-'D1_Balance Sheet'!B42)</f>
        <v>-1.2953777131844175E-3</v>
      </c>
      <c r="C58" s="78">
        <f>(D1_StatmentofCFs!C4+D1_StatmentofCFs!C5)/('D1_Balance Sheet'!C43-'D1_Balance Sheet'!C42)</f>
        <v>5.6003261760435345E-2</v>
      </c>
      <c r="D58" s="78">
        <f>(D1_StatmentofCFs!D4+D1_StatmentofCFs!D5)/('D1_Balance Sheet'!D43-'D1_Balance Sheet'!D42)</f>
        <v>5.2134798318708063E-2</v>
      </c>
      <c r="E58" s="78">
        <f>(D1_StatmentofCFs!E4+D1_StatmentofCFs!E5)/('D1_Balance Sheet'!E43-'D1_Balance Sheet'!E42)</f>
        <v>2.5818041591030936E-2</v>
      </c>
      <c r="F58" s="78">
        <f>(D1_StatmentofCFs!F4+D1_StatmentofCFs!F5)/('D1_Balance Sheet'!F43-'D1_Balance Sheet'!F42)</f>
        <v>0.12098831744326574</v>
      </c>
      <c r="G58" s="78">
        <f>(D1_StatmentofCFs!G4+D1_StatmentofCFs!G5)/('D1_Balance Sheet'!G43-'D1_Balance Sheet'!G42)</f>
        <v>3.1597279463670525E-2</v>
      </c>
    </row>
    <row r="59" spans="1:7" ht="15.95" customHeight="1">
      <c r="A59" s="23" t="s">
        <v>358</v>
      </c>
      <c r="B59" t="s">
        <v>359</v>
      </c>
      <c r="C59" t="s">
        <v>359</v>
      </c>
      <c r="D59" t="s">
        <v>359</v>
      </c>
      <c r="E59" t="s">
        <v>359</v>
      </c>
      <c r="F59" t="s">
        <v>363</v>
      </c>
      <c r="G59" t="s">
        <v>359</v>
      </c>
    </row>
    <row r="61" spans="1:7" ht="15.95" customHeight="1">
      <c r="A61" s="20" t="s">
        <v>369</v>
      </c>
      <c r="B61" s="78">
        <f>D1_StatmentofCFs!B27/('D1_Balance Sheet'!B43-'D1_Balance Sheet'!B42)</f>
        <v>8.4049477109727974E-2</v>
      </c>
      <c r="C61" s="78">
        <f>D1_StatmentofCFs!C27/('D1_Balance Sheet'!C43-'D1_Balance Sheet'!C42)</f>
        <v>6.4165983666235368E-2</v>
      </c>
      <c r="D61" s="78">
        <f>D1_StatmentofCFs!D27/('D1_Balance Sheet'!D43-'D1_Balance Sheet'!D42)</f>
        <v>6.4709786281594711E-2</v>
      </c>
      <c r="E61" s="78">
        <f>D1_StatmentofCFs!E27/('D1_Balance Sheet'!E43-'D1_Balance Sheet'!E42)</f>
        <v>3.2227875960534606E-2</v>
      </c>
      <c r="F61" s="78">
        <f>D1_StatmentofCFs!F27/('D1_Balance Sheet'!F43-'D1_Balance Sheet'!F42)</f>
        <v>7.5711216405455695E-2</v>
      </c>
      <c r="G61" s="78">
        <f>D1_StatmentofCFs!G27/('D1_Balance Sheet'!G43-'D1_Balance Sheet'!G42)</f>
        <v>0.10258653850218327</v>
      </c>
    </row>
    <row r="62" spans="1:7" ht="15.95" customHeight="1">
      <c r="A62" s="23" t="s">
        <v>358</v>
      </c>
      <c r="B62" t="s">
        <v>359</v>
      </c>
      <c r="C62" t="s">
        <v>359</v>
      </c>
      <c r="D62" t="s">
        <v>359</v>
      </c>
      <c r="E62" t="s">
        <v>359</v>
      </c>
      <c r="F62" t="s">
        <v>359</v>
      </c>
      <c r="G62" t="s">
        <v>359</v>
      </c>
    </row>
    <row r="63" spans="1:7">
      <c r="A63" s="7"/>
    </row>
    <row r="64" spans="1:7">
      <c r="A64" s="14" t="s">
        <v>370</v>
      </c>
      <c r="B64" s="79">
        <f>(D1_StatmentofCFs!B29/D1_StatmentofCFs!B5)</f>
        <v>-1.1252233852438089</v>
      </c>
      <c r="C64" s="79">
        <f>(D1_StatmentofCFs!C29/D1_StatmentofCFs!C5)</f>
        <v>-1.147614642526761</v>
      </c>
      <c r="D64" s="79">
        <f>(D1_StatmentofCFs!D29/D1_StatmentofCFs!D5)</f>
        <v>-1.0710013003901171</v>
      </c>
      <c r="E64" s="79">
        <f>(D1_StatmentofCFs!E29/D1_StatmentofCFs!E5)</f>
        <v>-0.89845590159644073</v>
      </c>
      <c r="F64" s="79">
        <f>(D1_StatmentofCFs!F29/D1_StatmentofCFs!F5)</f>
        <v>-0.85091555069691172</v>
      </c>
      <c r="G64" s="79">
        <f>(D1_StatmentofCFs!G29/D1_StatmentofCFs!G5)</f>
        <v>-0.65615358244772026</v>
      </c>
    </row>
    <row r="65" spans="1:7" ht="15.95" customHeight="1">
      <c r="A65" s="23" t="s">
        <v>358</v>
      </c>
      <c r="B65" t="s">
        <v>359</v>
      </c>
      <c r="C65" t="s">
        <v>359</v>
      </c>
      <c r="D65" t="s">
        <v>359</v>
      </c>
      <c r="E65" t="s">
        <v>359</v>
      </c>
      <c r="F65" t="s">
        <v>359</v>
      </c>
      <c r="G65" t="s">
        <v>359</v>
      </c>
    </row>
    <row r="66" spans="1:7">
      <c r="A66" s="1"/>
    </row>
    <row r="67" spans="1:7">
      <c r="A67" s="1"/>
    </row>
    <row r="68" spans="1:7" ht="15.95" customHeight="1">
      <c r="A68" s="26" t="s">
        <v>371</v>
      </c>
      <c r="B68" s="19"/>
      <c r="C68" s="19"/>
      <c r="D68" s="19"/>
      <c r="E68" s="19"/>
      <c r="F68" s="19"/>
      <c r="G68" s="19"/>
    </row>
    <row r="69" spans="1:7">
      <c r="A69" s="1"/>
    </row>
    <row r="70" spans="1:7">
      <c r="A70" s="1"/>
    </row>
    <row r="71" spans="1:7">
      <c r="A71" s="1"/>
    </row>
    <row r="72" spans="1:7">
      <c r="A72" s="1"/>
    </row>
    <row r="73" spans="1:7">
      <c r="A73" s="1"/>
    </row>
    <row r="74" spans="1:7">
      <c r="A74" s="1"/>
    </row>
    <row r="75" spans="1:7">
      <c r="A75" s="1"/>
    </row>
    <row r="76" spans="1:7">
      <c r="A76" s="1"/>
    </row>
    <row r="77" spans="1:7">
      <c r="A77" s="1"/>
    </row>
    <row r="78" spans="1:7">
      <c r="A78" s="1"/>
    </row>
    <row r="79" spans="1:7">
      <c r="A79" s="1"/>
    </row>
    <row r="80" spans="1:7">
      <c r="A80" s="1"/>
    </row>
  </sheetData>
  <pageMargins left="0.7" right="0.7" top="0.75" bottom="0.75" header="0.3" footer="0.3"/>
  <pageSetup orientation="portrait"/>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79998168889431442"/>
  </sheetPr>
  <dimension ref="A1:I43"/>
  <sheetViews>
    <sheetView workbookViewId="0">
      <pane ySplit="2" topLeftCell="A3" activePane="bottomLeft" state="frozen"/>
      <selection pane="bottomLeft" activeCell="B3" sqref="B3:G3"/>
    </sheetView>
  </sheetViews>
  <sheetFormatPr defaultColWidth="8.85546875" defaultRowHeight="15"/>
  <cols>
    <col min="1" max="1" width="59.85546875" customWidth="1"/>
    <col min="2" max="7" width="13.140625" customWidth="1"/>
  </cols>
  <sheetData>
    <row r="1" spans="1:7">
      <c r="A1" t="s">
        <v>88</v>
      </c>
    </row>
    <row r="2" spans="1:7">
      <c r="A2" s="1"/>
      <c r="B2" s="8" t="s">
        <v>16</v>
      </c>
      <c r="C2" s="8" t="s">
        <v>17</v>
      </c>
      <c r="D2" s="8" t="s">
        <v>18</v>
      </c>
      <c r="E2" s="8" t="s">
        <v>19</v>
      </c>
      <c r="F2" s="8" t="s">
        <v>20</v>
      </c>
      <c r="G2" s="8" t="s">
        <v>21</v>
      </c>
    </row>
    <row r="3" spans="1:7">
      <c r="A3" s="8" t="s">
        <v>372</v>
      </c>
      <c r="B3" s="8">
        <v>2025</v>
      </c>
      <c r="C3" s="8">
        <v>2024</v>
      </c>
      <c r="D3" s="8">
        <v>2023</v>
      </c>
      <c r="E3" s="8">
        <v>2022</v>
      </c>
      <c r="F3" s="8">
        <v>2021</v>
      </c>
      <c r="G3" s="8">
        <v>2020</v>
      </c>
    </row>
    <row r="4" spans="1:7">
      <c r="A4" t="s">
        <v>373</v>
      </c>
      <c r="B4" s="75">
        <f>B9/B10</f>
        <v>-6.4611650485436893</v>
      </c>
      <c r="C4" s="75">
        <f>C9/C10</f>
        <v>6.8698630136986303</v>
      </c>
      <c r="D4" s="75">
        <f>D9/D10</f>
        <v>11.435185185185183</v>
      </c>
      <c r="E4" s="75">
        <f>E9/E10</f>
        <v>-23.183673469387756</v>
      </c>
      <c r="F4" s="75">
        <f>F9/F10</f>
        <v>3.6471910112359551</v>
      </c>
      <c r="G4" s="75">
        <f>G9/G10</f>
        <v>-27.468749999999996</v>
      </c>
    </row>
    <row r="5" spans="1:7">
      <c r="A5" t="s">
        <v>374</v>
      </c>
      <c r="B5" s="75">
        <f>B9/B11</f>
        <v>2.4840359189542558</v>
      </c>
      <c r="C5" s="75">
        <f>C9/C11</f>
        <v>2.6186814924161479</v>
      </c>
      <c r="D5" s="75">
        <f>D9/D11</f>
        <v>3.3321323233677429</v>
      </c>
      <c r="E5" s="75">
        <f>E9/E11</f>
        <v>6.7017156198536609</v>
      </c>
      <c r="F5" s="75">
        <f>F9/F11</f>
        <v>4.1438946708392557</v>
      </c>
      <c r="G5" s="75">
        <f>G9/G11</f>
        <v>1.4476299497301082</v>
      </c>
    </row>
    <row r="6" spans="1:7">
      <c r="A6" t="s">
        <v>375</v>
      </c>
      <c r="B6" s="75">
        <f>B9/B43</f>
        <v>0.28229881627400699</v>
      </c>
      <c r="C6" s="75">
        <f>C9/C43</f>
        <v>0.21832254723195729</v>
      </c>
      <c r="D6" s="75">
        <f>D9/D43</f>
        <v>0.28212990447866232</v>
      </c>
      <c r="E6" s="75">
        <f>E9/E43</f>
        <v>0.29057148460907867</v>
      </c>
      <c r="F6" s="75">
        <f>F9/F43</f>
        <v>0.47982386199704657</v>
      </c>
      <c r="G6" s="75">
        <f>G9/G43</f>
        <v>0.27632079571194862</v>
      </c>
    </row>
    <row r="7" spans="1:7">
      <c r="A7" t="s">
        <v>376</v>
      </c>
      <c r="B7" s="75">
        <f>B9/B12</f>
        <v>1.4704398205158118</v>
      </c>
      <c r="C7" s="75">
        <f>C9/C12</f>
        <v>0.90081241569163029</v>
      </c>
      <c r="D7" s="75">
        <f>D9/D12</f>
        <v>1.1621525261262946</v>
      </c>
      <c r="E7" s="75">
        <f>E9/E12</f>
        <v>1.062089106490383</v>
      </c>
      <c r="F7" s="75">
        <f>F9/F12</f>
        <v>1.3483308635491111</v>
      </c>
      <c r="G7" s="75">
        <f>G9/G12</f>
        <v>1.1447550097751709</v>
      </c>
    </row>
    <row r="8" spans="1:7">
      <c r="B8" s="75"/>
      <c r="C8" s="75"/>
      <c r="D8" s="75"/>
      <c r="E8" s="75"/>
      <c r="F8" s="75"/>
      <c r="G8" s="75"/>
    </row>
    <row r="9" spans="1:7">
      <c r="A9" t="s">
        <v>377</v>
      </c>
      <c r="B9" s="75">
        <v>13.31</v>
      </c>
      <c r="C9" s="75">
        <v>10.029999999999999</v>
      </c>
      <c r="D9" s="75">
        <v>12.35</v>
      </c>
      <c r="E9" s="75">
        <v>11.36</v>
      </c>
      <c r="F9" s="75">
        <v>16.23</v>
      </c>
      <c r="G9" s="75">
        <v>8.7899999999999991</v>
      </c>
    </row>
    <row r="10" spans="1:7">
      <c r="A10" t="s">
        <v>378</v>
      </c>
      <c r="B10" s="75">
        <f>D1_IncomeStatment!B30</f>
        <v>-2.06</v>
      </c>
      <c r="C10" s="75">
        <f>D1_IncomeStatment!C30</f>
        <v>1.46</v>
      </c>
      <c r="D10" s="75">
        <f>D1_IncomeStatment!D30</f>
        <v>1.08</v>
      </c>
      <c r="E10" s="75">
        <f>D1_IncomeStatment!E30</f>
        <v>-0.49</v>
      </c>
      <c r="F10" s="75">
        <f>D1_IncomeStatment!F30</f>
        <v>4.45</v>
      </c>
      <c r="G10" s="75">
        <f>D1_IncomeStatment!G30</f>
        <v>-0.32</v>
      </c>
    </row>
    <row r="11" spans="1:7">
      <c r="A11" t="s">
        <v>379</v>
      </c>
      <c r="B11" s="75">
        <f>D1_StatmentofCFs!B27/D1_IncomeStatment!B31</f>
        <v>5.3582155952089954</v>
      </c>
      <c r="C11" s="75">
        <f>D1_StatmentofCFs!C27/D1_IncomeStatment!C31</f>
        <v>3.8301717979248169</v>
      </c>
      <c r="D11" s="75">
        <f>D1_StatmentofCFs!D27/D1_IncomeStatment!D31</f>
        <v>3.7063354037267087</v>
      </c>
      <c r="E11" s="75">
        <f>D1_StatmentofCFs!E27/D1_IncomeStatment!E31</f>
        <v>1.6950883392226148</v>
      </c>
      <c r="F11" s="75">
        <f>D1_StatmentofCFs!F27/D1_IncomeStatment!F31</f>
        <v>3.9166053409154262</v>
      </c>
      <c r="G11" s="75">
        <f>D1_StatmentofCFs!G27/D1_IncomeStatment!G31</f>
        <v>6.0719937451133701</v>
      </c>
    </row>
    <row r="12" spans="1:7">
      <c r="A12" s="9" t="s">
        <v>380</v>
      </c>
      <c r="B12" s="80">
        <f>'D1_Balance Sheet'!B42/D1_IncomeStatment!B31</f>
        <v>9.0517135174773902</v>
      </c>
      <c r="C12" s="80">
        <f>'D1_Balance Sheet'!C42/D1_IncomeStatment!C31</f>
        <v>11.134393604354482</v>
      </c>
      <c r="D12" s="80">
        <f>'D1_Balance Sheet'!D42/D1_IncomeStatment!D31</f>
        <v>10.626832298136646</v>
      </c>
      <c r="E12" s="80">
        <f>'D1_Balance Sheet'!E42/D1_IncomeStatment!E31</f>
        <v>10.695901060070671</v>
      </c>
      <c r="F12" s="80">
        <f>'D1_Balance Sheet'!F42/D1_IncomeStatment!F31</f>
        <v>12.037104867034621</v>
      </c>
      <c r="G12" s="80">
        <f>'D1_Balance Sheet'!G42/D1_IncomeStatment!G31</f>
        <v>7.6784988272087569</v>
      </c>
    </row>
    <row r="13" spans="1:7">
      <c r="A13" s="27" t="s">
        <v>381</v>
      </c>
      <c r="B13" s="1"/>
      <c r="C13" s="1"/>
      <c r="D13" s="1"/>
      <c r="E13" s="1"/>
      <c r="F13" s="1"/>
      <c r="G13" s="1"/>
    </row>
    <row r="16" spans="1:7">
      <c r="A16" s="1" t="s">
        <v>382</v>
      </c>
    </row>
    <row r="17" spans="1:7">
      <c r="B17" t="s">
        <v>383</v>
      </c>
    </row>
    <row r="18" spans="1:7">
      <c r="A18" s="29" t="s">
        <v>384</v>
      </c>
      <c r="B18" s="29">
        <v>1.52</v>
      </c>
      <c r="C18" t="s">
        <v>385</v>
      </c>
    </row>
    <row r="19" spans="1:7" ht="17.100000000000001" customHeight="1">
      <c r="A19" s="9" t="s">
        <v>386</v>
      </c>
      <c r="B19" s="9">
        <f>B9/B18</f>
        <v>8.7565789473684212</v>
      </c>
    </row>
    <row r="22" spans="1:7">
      <c r="B22" s="8" t="s">
        <v>16</v>
      </c>
      <c r="C22" s="8" t="s">
        <v>17</v>
      </c>
      <c r="D22" s="8" t="s">
        <v>18</v>
      </c>
      <c r="E22" s="8" t="s">
        <v>19</v>
      </c>
      <c r="F22" s="8" t="s">
        <v>20</v>
      </c>
      <c r="G22" s="8" t="s">
        <v>21</v>
      </c>
    </row>
    <row r="23" spans="1:7">
      <c r="A23" s="8" t="s">
        <v>387</v>
      </c>
      <c r="B23" s="9"/>
      <c r="C23" s="9"/>
      <c r="D23" s="9"/>
      <c r="E23" s="9"/>
      <c r="F23" s="9"/>
      <c r="G23" s="9"/>
    </row>
    <row r="24" spans="1:7">
      <c r="A24" t="s">
        <v>388</v>
      </c>
      <c r="B24" s="45">
        <f>'D1_Balance Sheet'!B21+'D1_Balance Sheet'!B23+'D1_Balance Sheet'!B28+'D1_Balance Sheet'!B32</f>
        <v>163336</v>
      </c>
      <c r="C24" s="45">
        <f>'D1_Balance Sheet'!C21+'D1_Balance Sheet'!C23+'D1_Balance Sheet'!C28+'D1_Balance Sheet'!C32</f>
        <v>158522</v>
      </c>
      <c r="D24" s="45">
        <f>'D1_Balance Sheet'!D21+'D1_Balance Sheet'!D23+'D1_Balance Sheet'!D28+'D1_Balance Sheet'!D32</f>
        <v>149231</v>
      </c>
      <c r="E24" s="45">
        <f>'D1_Balance Sheet'!E21+'D1_Balance Sheet'!E23+'D1_Balance Sheet'!E28+'D1_Balance Sheet'!E32</f>
        <v>138969</v>
      </c>
      <c r="F24" s="45">
        <f>'D1_Balance Sheet'!F21+'D1_Balance Sheet'!F23+'D1_Balance Sheet'!F28+'D1_Balance Sheet'!F32</f>
        <v>138092</v>
      </c>
      <c r="G24" s="45">
        <f>'D1_Balance Sheet'!G21+'D1_Balance Sheet'!G23+'D1_Balance Sheet'!G28+'D1_Balance Sheet'!G32</f>
        <v>161684</v>
      </c>
    </row>
    <row r="25" spans="1:7">
      <c r="A25" t="s">
        <v>389</v>
      </c>
      <c r="B25">
        <v>0</v>
      </c>
      <c r="C25">
        <v>0</v>
      </c>
      <c r="D25">
        <v>0</v>
      </c>
      <c r="E25">
        <v>0</v>
      </c>
      <c r="F25">
        <v>0</v>
      </c>
      <c r="G25">
        <v>0</v>
      </c>
    </row>
    <row r="26" spans="1:7">
      <c r="A26" t="s">
        <v>390</v>
      </c>
      <c r="B26">
        <f>D1_IncomeStatment!B31*B9</f>
        <v>52865.252427184467</v>
      </c>
      <c r="C26">
        <f>D1_IncomeStatment!C31*C9</f>
        <v>40387.924657534248</v>
      </c>
      <c r="D26">
        <f>D1_IncomeStatment!D31*D9</f>
        <v>49708.749999999993</v>
      </c>
      <c r="E26">
        <f>D1_IncomeStatment!E31*E9</f>
        <v>45926.857142857145</v>
      </c>
      <c r="F26">
        <f>D1_IncomeStatment!F31*F9</f>
        <v>65419.665168539323</v>
      </c>
      <c r="G26">
        <f>D1_IncomeStatment!G31*G9</f>
        <v>35132.53125</v>
      </c>
    </row>
    <row r="27" spans="1:7">
      <c r="A27" t="s">
        <v>391</v>
      </c>
      <c r="B27" s="68">
        <f>'D1_Balance Sheet'!B4+'D1_Balance Sheet'!B5</f>
        <v>38487</v>
      </c>
      <c r="C27" s="68">
        <f>'D1_Balance Sheet'!C4+'D1_Balance Sheet'!C5</f>
        <v>38348</v>
      </c>
      <c r="D27" s="68">
        <f>'D1_Balance Sheet'!D4+'D1_Balance Sheet'!D5</f>
        <v>40171</v>
      </c>
      <c r="E27" s="68">
        <f>'D1_Balance Sheet'!E4+'D1_Balance Sheet'!E5</f>
        <v>44070</v>
      </c>
      <c r="F27" s="68">
        <f>'D1_Balance Sheet'!F4+'D1_Balance Sheet'!F5</f>
        <v>49593</v>
      </c>
      <c r="G27" s="68">
        <f>'D1_Balance Sheet'!G4+'D1_Balance Sheet'!G5</f>
        <v>49961</v>
      </c>
    </row>
    <row r="28" spans="1:7">
      <c r="A28" t="s">
        <v>392</v>
      </c>
      <c r="B28" s="45">
        <f>'D1_Balance Sheet'!B30</f>
        <v>28</v>
      </c>
      <c r="C28" s="45">
        <f>'D1_Balance Sheet'!C30</f>
        <v>23</v>
      </c>
      <c r="D28" s="45">
        <f>'D1_Balance Sheet'!D30</f>
        <v>25</v>
      </c>
      <c r="E28" s="45">
        <f>'D1_Balance Sheet'!E30</f>
        <v>-75</v>
      </c>
      <c r="F28" s="45">
        <f>'D1_Balance Sheet'!F30</f>
        <v>103</v>
      </c>
      <c r="G28" s="45">
        <f>'D1_Balance Sheet'!G30</f>
        <v>121</v>
      </c>
    </row>
    <row r="29" spans="1:7" ht="48" customHeight="1">
      <c r="A29" s="4" t="s">
        <v>393</v>
      </c>
      <c r="B29" s="68">
        <f>B24+B25+B26+B28-B27</f>
        <v>177742.25242718446</v>
      </c>
      <c r="C29" s="68">
        <f>C24+C25+C26+C28-C27</f>
        <v>160584.92465753425</v>
      </c>
      <c r="D29" s="68">
        <f>D24+D25+D26+D28-D27</f>
        <v>158793.75</v>
      </c>
      <c r="E29" s="68">
        <f>E24+E25+E26+E28-E27</f>
        <v>140750.85714285716</v>
      </c>
      <c r="F29" s="68">
        <f>F24+F25+F26+F28-F27</f>
        <v>154021.66516853933</v>
      </c>
      <c r="G29" s="68">
        <f>G24+G25+G26+G28-G27</f>
        <v>146976.53125</v>
      </c>
    </row>
    <row r="30" spans="1:7">
      <c r="A30" t="s">
        <v>394</v>
      </c>
      <c r="B30">
        <f>D1_IncomeStatment!B28+D1_StatmentofCFs!B5</f>
        <v>-1335</v>
      </c>
      <c r="C30">
        <f>D1_IncomeStatment!C28+D1_StatmentofCFs!C5</f>
        <v>12786</v>
      </c>
      <c r="D30">
        <f>D1_IncomeStatment!D28+D1_StatmentofCFs!D5</f>
        <v>13148</v>
      </c>
      <c r="E30">
        <f>D1_IncomeStatment!E28+D1_StatmentofCFs!E5</f>
        <v>13918</v>
      </c>
      <c r="F30">
        <f>D1_IncomeStatment!F28+D1_StatmentofCFs!F5</f>
        <v>11841</v>
      </c>
      <c r="G30">
        <f>D1_IncomeStatment!G28+D1_StatmentofCFs!G5</f>
        <v>4343</v>
      </c>
    </row>
    <row r="31" spans="1:7">
      <c r="A31" t="s">
        <v>395</v>
      </c>
      <c r="B31" s="68">
        <f>B29/B30</f>
        <v>-133.14026399040034</v>
      </c>
      <c r="C31" s="68">
        <f>C29/C30</f>
        <v>12.559434119938546</v>
      </c>
      <c r="D31" s="68">
        <f>D29/D30</f>
        <v>12.077407210222088</v>
      </c>
      <c r="E31" s="68">
        <f>E29/E30</f>
        <v>10.112865148933551</v>
      </c>
      <c r="F31" s="68">
        <f>F29/F30</f>
        <v>13.00748797977699</v>
      </c>
      <c r="G31" s="68">
        <f>G29/G30</f>
        <v>33.842166992862076</v>
      </c>
    </row>
    <row r="34" spans="1:9">
      <c r="A34" t="s">
        <v>396</v>
      </c>
      <c r="B34" s="39">
        <f>4.3%+1.37*5%</f>
        <v>0.1115</v>
      </c>
      <c r="C34" s="39">
        <f>4.3%+1.37*5%</f>
        <v>0.1115</v>
      </c>
      <c r="D34" s="39">
        <f>4.3%+1.37*5%</f>
        <v>0.1115</v>
      </c>
      <c r="E34" s="39">
        <f>4.3%+1.37*5%</f>
        <v>0.1115</v>
      </c>
      <c r="F34" s="39">
        <f>4.3%+1.37*5%</f>
        <v>0.1115</v>
      </c>
      <c r="G34" s="39">
        <f>4.3%+1.37*5%</f>
        <v>0.1115</v>
      </c>
    </row>
    <row r="35" spans="1:9">
      <c r="A35" t="s">
        <v>397</v>
      </c>
      <c r="B35">
        <f>'D1_Balance Sheet'!B42</f>
        <v>35952</v>
      </c>
      <c r="C35">
        <f>'D1_Balance Sheet'!C42</f>
        <v>44835</v>
      </c>
      <c r="D35">
        <f>'D1_Balance Sheet'!D42</f>
        <v>42773</v>
      </c>
      <c r="E35">
        <f>'D1_Balance Sheet'!E42</f>
        <v>43242</v>
      </c>
      <c r="F35">
        <f>'D1_Balance Sheet'!F42</f>
        <v>48519</v>
      </c>
      <c r="G35">
        <f>'D1_Balance Sheet'!G42</f>
        <v>30690</v>
      </c>
    </row>
    <row r="36" spans="1:9">
      <c r="A36" t="s">
        <v>398</v>
      </c>
      <c r="B36">
        <f>B34*B35</f>
        <v>4008.6480000000001</v>
      </c>
      <c r="C36">
        <f>C34*C35</f>
        <v>4999.1025</v>
      </c>
      <c r="D36">
        <f>D34*D35</f>
        <v>4769.1895000000004</v>
      </c>
      <c r="E36">
        <f>E34*E35</f>
        <v>4821.4830000000002</v>
      </c>
      <c r="F36">
        <f>F34*F35</f>
        <v>5409.8685000000005</v>
      </c>
      <c r="G36">
        <f>G34*G35</f>
        <v>3421.9349999999999</v>
      </c>
    </row>
    <row r="37" spans="1:9">
      <c r="A37" t="s">
        <v>399</v>
      </c>
      <c r="B37">
        <f>D1_IncomeStatment!B26</f>
        <v>-8182</v>
      </c>
      <c r="C37">
        <f>D1_IncomeStatment!C26</f>
        <v>5879</v>
      </c>
      <c r="D37">
        <f>D1_IncomeStatment!D26</f>
        <v>4347</v>
      </c>
      <c r="E37">
        <f>D1_IncomeStatment!E26</f>
        <v>-1981</v>
      </c>
      <c r="F37">
        <f>D1_IncomeStatment!F26</f>
        <v>17937</v>
      </c>
      <c r="G37">
        <f>D1_IncomeStatment!G26</f>
        <v>-1279</v>
      </c>
    </row>
    <row r="38" spans="1:9">
      <c r="A38" s="9" t="s">
        <v>400</v>
      </c>
      <c r="B38" s="9">
        <f>B37-B36</f>
        <v>-12190.648000000001</v>
      </c>
      <c r="C38" s="9">
        <f>C37-C36</f>
        <v>879.89750000000004</v>
      </c>
      <c r="D38" s="9">
        <f>D37-D36</f>
        <v>-422.18950000000041</v>
      </c>
      <c r="E38" s="9">
        <f>E37-E36</f>
        <v>-6802.4830000000002</v>
      </c>
      <c r="F38" s="9">
        <f>F37-F36</f>
        <v>12527.1315</v>
      </c>
      <c r="G38" s="9">
        <f>G37-G36</f>
        <v>-4700.9349999999995</v>
      </c>
    </row>
    <row r="43" spans="1:9">
      <c r="A43" t="s">
        <v>401</v>
      </c>
      <c r="B43">
        <f>D1_IncomeStatment!B9/D1_IncomeStatment!B31</f>
        <v>47.148621363969689</v>
      </c>
      <c r="C43">
        <f>D1_IncomeStatment!C9/D1_IncomeStatment!C31</f>
        <v>45.94120088450417</v>
      </c>
      <c r="D43">
        <f>D1_IncomeStatment!D9/D1_IncomeStatment!D31</f>
        <v>43.774161490683234</v>
      </c>
      <c r="E43">
        <f>D1_IncomeStatment!E9/D1_IncomeStatment!E31</f>
        <v>39.09537102473498</v>
      </c>
      <c r="F43">
        <f>D1_IncomeStatment!F9/D1_IncomeStatment!F31</f>
        <v>33.824912192674361</v>
      </c>
      <c r="G43">
        <f>D1_IncomeStatment!G9/D1_IncomeStatment!G31</f>
        <v>31.810852228303361</v>
      </c>
      <c r="I43" t="s">
        <v>402</v>
      </c>
    </row>
  </sheetData>
  <pageMargins left="0.7" right="0.7" top="0.75" bottom="0.75" header="0.3" footer="0.3"/>
  <pageSetup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5"/>
  <sheetViews>
    <sheetView topLeftCell="A2" workbookViewId="0">
      <selection activeCell="E14" sqref="E14"/>
    </sheetView>
  </sheetViews>
  <sheetFormatPr defaultColWidth="8.85546875" defaultRowHeight="15"/>
  <cols>
    <col min="1" max="1" width="20.140625" bestFit="1" customWidth="1"/>
    <col min="2" max="7" width="16.42578125" customWidth="1"/>
    <col min="8" max="8" width="10.42578125" bestFit="1" customWidth="1"/>
  </cols>
  <sheetData>
    <row r="1" spans="1:8">
      <c r="A1" t="s">
        <v>403</v>
      </c>
    </row>
    <row r="3" spans="1:8">
      <c r="B3" s="8" t="s">
        <v>16</v>
      </c>
      <c r="C3" s="8" t="s">
        <v>404</v>
      </c>
      <c r="D3" s="8" t="s">
        <v>405</v>
      </c>
      <c r="E3" s="8" t="s">
        <v>406</v>
      </c>
      <c r="F3" s="8" t="s">
        <v>407</v>
      </c>
      <c r="G3" s="8" t="s">
        <v>408</v>
      </c>
      <c r="H3" s="8" t="s">
        <v>409</v>
      </c>
    </row>
    <row r="4" spans="1:8">
      <c r="B4" s="30"/>
      <c r="C4" s="30"/>
      <c r="D4" s="30"/>
      <c r="E4" s="30"/>
      <c r="F4" s="30"/>
      <c r="G4" s="30"/>
      <c r="H4" s="30"/>
    </row>
    <row r="5" spans="1:8">
      <c r="A5" t="s">
        <v>410</v>
      </c>
    </row>
  </sheetData>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7" tint="0.59999389629810485"/>
  </sheetPr>
  <dimension ref="A1:G96"/>
  <sheetViews>
    <sheetView workbookViewId="0">
      <selection activeCell="B13" sqref="B13"/>
    </sheetView>
  </sheetViews>
  <sheetFormatPr defaultColWidth="8.85546875" defaultRowHeight="15"/>
  <cols>
    <col min="1" max="1" width="42.42578125" bestFit="1" customWidth="1"/>
    <col min="2" max="7" width="14.140625" customWidth="1"/>
  </cols>
  <sheetData>
    <row r="1" spans="1:7">
      <c r="A1" t="s">
        <v>411</v>
      </c>
    </row>
    <row r="2" spans="1:7">
      <c r="A2" t="s">
        <v>412</v>
      </c>
    </row>
    <row r="4" spans="1:7">
      <c r="B4" s="8" t="s">
        <v>16</v>
      </c>
      <c r="C4" s="8" t="s">
        <v>17</v>
      </c>
      <c r="D4" s="8" t="s">
        <v>18</v>
      </c>
      <c r="E4" s="8" t="s">
        <v>19</v>
      </c>
      <c r="F4" s="8" t="s">
        <v>20</v>
      </c>
      <c r="G4" s="8" t="s">
        <v>21</v>
      </c>
    </row>
    <row r="5" spans="1:7">
      <c r="A5" s="8" t="s">
        <v>413</v>
      </c>
      <c r="B5" s="9"/>
      <c r="C5" s="9"/>
      <c r="D5" s="9"/>
      <c r="E5" s="9"/>
      <c r="F5" s="9"/>
      <c r="G5" s="9"/>
    </row>
    <row r="6" spans="1:7">
      <c r="A6" t="s">
        <v>414</v>
      </c>
    </row>
    <row r="7" spans="1:7">
      <c r="A7" t="s">
        <v>415</v>
      </c>
    </row>
    <row r="8" spans="1:7">
      <c r="A8" t="s">
        <v>416</v>
      </c>
    </row>
    <row r="9" spans="1:7">
      <c r="A9" t="s">
        <v>417</v>
      </c>
    </row>
    <row r="10" spans="1:7">
      <c r="A10" t="s">
        <v>418</v>
      </c>
    </row>
    <row r="11" spans="1:7">
      <c r="A11" t="s">
        <v>419</v>
      </c>
    </row>
    <row r="12" spans="1:7">
      <c r="A12" t="s">
        <v>420</v>
      </c>
    </row>
    <row r="14" spans="1:7">
      <c r="A14" t="s">
        <v>421</v>
      </c>
    </row>
    <row r="15" spans="1:7">
      <c r="A15" t="s">
        <v>422</v>
      </c>
    </row>
    <row r="17" spans="1:7">
      <c r="A17" s="9" t="s">
        <v>423</v>
      </c>
      <c r="B17" s="9"/>
      <c r="C17" s="9"/>
      <c r="D17" s="9"/>
      <c r="E17" s="9"/>
      <c r="F17" s="9"/>
      <c r="G17" s="9"/>
    </row>
    <row r="20" spans="1:7">
      <c r="A20" s="4"/>
      <c r="B20" s="8" t="s">
        <v>16</v>
      </c>
      <c r="C20" s="8" t="s">
        <v>17</v>
      </c>
      <c r="D20" s="8" t="s">
        <v>18</v>
      </c>
      <c r="E20" s="8" t="s">
        <v>19</v>
      </c>
      <c r="F20" s="8" t="s">
        <v>20</v>
      </c>
      <c r="G20" s="8" t="s">
        <v>21</v>
      </c>
    </row>
    <row r="21" spans="1:7" ht="15.95" customHeight="1">
      <c r="A21" s="17" t="s">
        <v>424</v>
      </c>
      <c r="B21" s="9"/>
      <c r="C21" s="9"/>
      <c r="D21" s="9"/>
      <c r="E21" s="9"/>
      <c r="F21" s="9"/>
      <c r="G21" s="9"/>
    </row>
    <row r="22" spans="1:7" ht="15.95" customHeight="1">
      <c r="A22" s="4" t="s">
        <v>424</v>
      </c>
    </row>
    <row r="23" spans="1:7" ht="15.95" customHeight="1">
      <c r="A23" s="4" t="s">
        <v>425</v>
      </c>
    </row>
    <row r="24" spans="1:7" ht="15.95" customHeight="1">
      <c r="A24" s="16" t="s">
        <v>426</v>
      </c>
      <c r="B24" s="9"/>
      <c r="C24" s="9"/>
      <c r="D24" s="9"/>
      <c r="E24" s="9"/>
      <c r="F24" s="9"/>
      <c r="G24" s="9"/>
    </row>
    <row r="27" spans="1:7">
      <c r="B27" s="8" t="s">
        <v>16</v>
      </c>
      <c r="C27" s="8" t="s">
        <v>17</v>
      </c>
      <c r="D27" s="8" t="s">
        <v>18</v>
      </c>
      <c r="E27" s="8" t="s">
        <v>19</v>
      </c>
      <c r="F27" s="8" t="s">
        <v>20</v>
      </c>
      <c r="G27" s="8" t="s">
        <v>21</v>
      </c>
    </row>
    <row r="28" spans="1:7">
      <c r="A28" s="8" t="s">
        <v>427</v>
      </c>
      <c r="B28" s="9"/>
      <c r="C28" s="9"/>
      <c r="D28" s="9"/>
      <c r="E28" s="9"/>
      <c r="F28" s="9"/>
      <c r="G28" s="9"/>
    </row>
    <row r="29" spans="1:7">
      <c r="A29" t="s">
        <v>428</v>
      </c>
    </row>
    <row r="31" spans="1:7" ht="32.1" customHeight="1">
      <c r="A31" s="4" t="s">
        <v>429</v>
      </c>
    </row>
    <row r="32" spans="1:7" ht="15.95" customHeight="1">
      <c r="A32" s="4" t="s">
        <v>430</v>
      </c>
    </row>
    <row r="33" spans="1:7" ht="15.95" customHeight="1">
      <c r="A33" s="4" t="s">
        <v>431</v>
      </c>
    </row>
    <row r="34" spans="1:7" ht="48" customHeight="1">
      <c r="A34" s="4" t="s">
        <v>432</v>
      </c>
    </row>
    <row r="35" spans="1:7">
      <c r="A35" s="4"/>
    </row>
    <row r="36" spans="1:7" ht="15.95" customHeight="1">
      <c r="A36" s="4" t="s">
        <v>433</v>
      </c>
    </row>
    <row r="37" spans="1:7" ht="15.95" customHeight="1">
      <c r="A37" s="4" t="s">
        <v>434</v>
      </c>
    </row>
    <row r="38" spans="1:7" ht="32.1" customHeight="1">
      <c r="A38" s="4" t="s">
        <v>435</v>
      </c>
    </row>
    <row r="39" spans="1:7">
      <c r="A39" s="4"/>
    </row>
    <row r="40" spans="1:7" ht="15.95" customHeight="1">
      <c r="A40" s="4" t="s">
        <v>436</v>
      </c>
    </row>
    <row r="41" spans="1:7" ht="15.95" customHeight="1">
      <c r="A41" s="4" t="s">
        <v>437</v>
      </c>
    </row>
    <row r="42" spans="1:7">
      <c r="A42" s="4"/>
    </row>
    <row r="43" spans="1:7">
      <c r="A43" s="9" t="s">
        <v>423</v>
      </c>
      <c r="B43" s="9"/>
      <c r="C43" s="9"/>
      <c r="D43" s="9"/>
      <c r="E43" s="9"/>
      <c r="F43" s="9"/>
      <c r="G43" s="9"/>
    </row>
    <row r="44" spans="1:7">
      <c r="A44" s="4"/>
    </row>
    <row r="45" spans="1:7">
      <c r="A45" s="4"/>
    </row>
    <row r="46" spans="1:7">
      <c r="A46" s="4"/>
      <c r="B46" s="8" t="s">
        <v>16</v>
      </c>
      <c r="C46" s="8" t="s">
        <v>17</v>
      </c>
      <c r="D46" s="8" t="s">
        <v>18</v>
      </c>
      <c r="E46" s="8" t="s">
        <v>19</v>
      </c>
      <c r="F46" s="8" t="s">
        <v>20</v>
      </c>
      <c r="G46" s="8" t="s">
        <v>21</v>
      </c>
    </row>
    <row r="47" spans="1:7" ht="15.95" customHeight="1">
      <c r="A47" s="17" t="s">
        <v>438</v>
      </c>
      <c r="B47" s="9"/>
      <c r="C47" s="9"/>
      <c r="D47" s="9"/>
      <c r="E47" s="9"/>
      <c r="F47" s="9"/>
      <c r="G47" s="9"/>
    </row>
    <row r="48" spans="1:7" ht="15.95" customHeight="1">
      <c r="A48" s="4" t="s">
        <v>439</v>
      </c>
    </row>
    <row r="49" spans="1:7" ht="32.1" customHeight="1">
      <c r="A49" s="4" t="s">
        <v>440</v>
      </c>
    </row>
    <row r="50" spans="1:7">
      <c r="A50" s="4"/>
    </row>
    <row r="51" spans="1:7" ht="15.95" customHeight="1">
      <c r="A51" s="4" t="s">
        <v>441</v>
      </c>
    </row>
    <row r="52" spans="1:7" ht="15.95" customHeight="1">
      <c r="A52" s="4" t="s">
        <v>442</v>
      </c>
    </row>
    <row r="53" spans="1:7">
      <c r="A53" s="4"/>
    </row>
    <row r="54" spans="1:7" ht="15.95" customHeight="1">
      <c r="A54" s="4" t="s">
        <v>443</v>
      </c>
    </row>
    <row r="55" spans="1:7" ht="15.95" customHeight="1">
      <c r="A55" s="4" t="s">
        <v>329</v>
      </c>
    </row>
    <row r="56" spans="1:7" ht="15.95" customHeight="1">
      <c r="A56" s="4" t="s">
        <v>444</v>
      </c>
    </row>
    <row r="57" spans="1:7">
      <c r="A57" s="4"/>
    </row>
    <row r="58" spans="1:7" ht="15.95" customHeight="1">
      <c r="A58" s="4" t="s">
        <v>445</v>
      </c>
    </row>
    <row r="59" spans="1:7" ht="15.95" customHeight="1">
      <c r="A59" s="4" t="s">
        <v>446</v>
      </c>
    </row>
    <row r="60" spans="1:7" ht="15.95" customHeight="1">
      <c r="A60" s="16" t="s">
        <v>447</v>
      </c>
      <c r="B60" s="9"/>
      <c r="C60" s="9"/>
      <c r="D60" s="9"/>
      <c r="E60" s="9"/>
      <c r="F60" s="9"/>
      <c r="G60" s="9"/>
    </row>
    <row r="61" spans="1:7">
      <c r="A61" s="4"/>
    </row>
    <row r="62" spans="1:7">
      <c r="A62" s="4"/>
    </row>
    <row r="63" spans="1:7">
      <c r="A63" s="4"/>
      <c r="B63" s="8" t="s">
        <v>16</v>
      </c>
      <c r="C63" s="8" t="s">
        <v>17</v>
      </c>
      <c r="D63" s="8" t="s">
        <v>18</v>
      </c>
      <c r="E63" s="8" t="s">
        <v>19</v>
      </c>
      <c r="F63" s="8" t="s">
        <v>20</v>
      </c>
      <c r="G63" s="8" t="s">
        <v>21</v>
      </c>
    </row>
    <row r="64" spans="1:7" ht="15.95" customHeight="1">
      <c r="A64" s="17" t="s">
        <v>448</v>
      </c>
      <c r="B64" s="9"/>
      <c r="C64" s="9"/>
      <c r="D64" s="9"/>
      <c r="E64" s="9"/>
      <c r="F64" s="9"/>
      <c r="G64" s="9"/>
    </row>
    <row r="65" spans="1:7" ht="96" customHeight="1">
      <c r="A65" s="4" t="s">
        <v>449</v>
      </c>
    </row>
    <row r="66" spans="1:7" ht="15.95" customHeight="1">
      <c r="A66" s="4" t="s">
        <v>450</v>
      </c>
    </row>
    <row r="67" spans="1:7" ht="32.1" customHeight="1">
      <c r="A67" s="4" t="s">
        <v>451</v>
      </c>
    </row>
    <row r="68" spans="1:7" ht="14.1" customHeight="1">
      <c r="A68" s="4"/>
    </row>
    <row r="69" spans="1:7" ht="15.95" customHeight="1">
      <c r="A69" s="4" t="s">
        <v>452</v>
      </c>
    </row>
    <row r="70" spans="1:7">
      <c r="A70" s="4"/>
    </row>
    <row r="71" spans="1:7" ht="32.1" customHeight="1">
      <c r="A71" s="4" t="s">
        <v>453</v>
      </c>
    </row>
    <row r="72" spans="1:7">
      <c r="A72" s="4"/>
    </row>
    <row r="73" spans="1:7" ht="32.1" customHeight="1">
      <c r="A73" s="4" t="s">
        <v>454</v>
      </c>
    </row>
    <row r="74" spans="1:7">
      <c r="A74" s="4"/>
    </row>
    <row r="75" spans="1:7" ht="15.95" customHeight="1">
      <c r="A75" s="16" t="s">
        <v>447</v>
      </c>
      <c r="B75" s="9"/>
      <c r="C75" s="9"/>
      <c r="D75" s="9"/>
      <c r="E75" s="9"/>
      <c r="F75" s="9"/>
      <c r="G75" s="9"/>
    </row>
    <row r="80" spans="1:7">
      <c r="A80" s="4"/>
      <c r="B80" s="8" t="s">
        <v>16</v>
      </c>
      <c r="C80" s="8" t="s">
        <v>17</v>
      </c>
      <c r="D80" s="8" t="s">
        <v>18</v>
      </c>
      <c r="E80" s="8" t="s">
        <v>19</v>
      </c>
      <c r="F80" s="8" t="s">
        <v>20</v>
      </c>
      <c r="G80" s="8" t="s">
        <v>21</v>
      </c>
    </row>
    <row r="81" spans="1:7" ht="15.95" customHeight="1">
      <c r="A81" s="17" t="s">
        <v>455</v>
      </c>
      <c r="B81" s="9"/>
      <c r="C81" s="9"/>
      <c r="D81" s="9"/>
      <c r="E81" s="9"/>
      <c r="F81" s="9"/>
      <c r="G81" s="9"/>
    </row>
    <row r="82" spans="1:7" ht="63.95" customHeight="1">
      <c r="A82" s="4" t="s">
        <v>456</v>
      </c>
    </row>
    <row r="83" spans="1:7" ht="15.95" customHeight="1">
      <c r="A83" s="4" t="s">
        <v>450</v>
      </c>
    </row>
    <row r="84" spans="1:7" ht="32.1" customHeight="1">
      <c r="A84" s="4" t="s">
        <v>457</v>
      </c>
    </row>
    <row r="86" spans="1:7" ht="15.95" customHeight="1">
      <c r="A86" s="16" t="s">
        <v>447</v>
      </c>
      <c r="B86" s="9"/>
      <c r="C86" s="9"/>
      <c r="D86" s="9"/>
      <c r="E86" s="9"/>
      <c r="F86" s="9"/>
      <c r="G86" s="9"/>
    </row>
    <row r="87" spans="1:7">
      <c r="A87" s="4"/>
    </row>
    <row r="88" spans="1:7">
      <c r="A88" s="4"/>
    </row>
    <row r="90" spans="1:7">
      <c r="A90" s="4"/>
      <c r="B90" s="8" t="s">
        <v>16</v>
      </c>
      <c r="C90" s="8" t="s">
        <v>17</v>
      </c>
      <c r="D90" s="8" t="s">
        <v>18</v>
      </c>
      <c r="E90" s="8" t="s">
        <v>19</v>
      </c>
      <c r="F90" s="8" t="s">
        <v>20</v>
      </c>
      <c r="G90" s="8" t="s">
        <v>21</v>
      </c>
    </row>
    <row r="91" spans="1:7" ht="15.95" customHeight="1">
      <c r="A91" s="17" t="s">
        <v>458</v>
      </c>
      <c r="B91" s="9"/>
      <c r="C91" s="9"/>
      <c r="D91" s="9"/>
      <c r="E91" s="9"/>
      <c r="F91" s="9"/>
      <c r="G91" s="9"/>
    </row>
    <row r="92" spans="1:7">
      <c r="A92" t="s">
        <v>459</v>
      </c>
    </row>
    <row r="93" spans="1:7">
      <c r="A93" t="s">
        <v>460</v>
      </c>
    </row>
    <row r="95" spans="1:7">
      <c r="A95" t="s">
        <v>461</v>
      </c>
    </row>
    <row r="96" spans="1:7">
      <c r="A96" s="9" t="s">
        <v>460</v>
      </c>
      <c r="B96" s="9"/>
      <c r="C96" s="9"/>
      <c r="D96" s="9"/>
      <c r="E96" s="9"/>
      <c r="F96" s="9"/>
      <c r="G96" s="9"/>
    </row>
  </sheetData>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Watson, Ethan D.</dc:creator>
  <cp:keywords/>
  <dc:description/>
  <cp:lastModifiedBy/>
  <cp:revision/>
  <dcterms:created xsi:type="dcterms:W3CDTF">2015-07-28T15:49:12Z</dcterms:created>
  <dcterms:modified xsi:type="dcterms:W3CDTF">2026-04-30T22:12:34Z</dcterms:modified>
  <cp:category/>
  <cp:contentStatus/>
</cp:coreProperties>
</file>