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rNPV Model" sheetId="4" state="visible" r:id="rId6"/>
    <sheet name="Clinical Probability" sheetId="5" state="visible" r:id="rId7"/>
    <sheet name="M&amp;A Buyout Analysis" sheetId="6" state="visible" r:id="rId8"/>
    <sheet name="Peer Comps &amp;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<sst xmlns="http://schemas.openxmlformats.org/spreadsheetml/2006/main" count="496" uniqueCount="414">
  <si>
    <t xml:space="preserve">SELLAS LIFE SCIENCES GROUP, INC. (SLS)</t>
  </si>
  <si>
    <t xml:space="preserve">Consolidated Statement of Operations (USD $000s)</t>
  </si>
  <si>
    <t xml:space="preserve">Source: 10-K (FY2024), 10-Q (Q3 2025)</t>
  </si>
  <si>
    <t xml:space="preserve">FY 2022</t>
  </si>
  <si>
    <t xml:space="preserve">FY 2023</t>
  </si>
  <si>
    <t xml:space="preserve">FY 2024</t>
  </si>
  <si>
    <t xml:space="preserve">Q3 2025 (9M)</t>
  </si>
  <si>
    <t xml:space="preserve">Notes</t>
  </si>
  <si>
    <t xml:space="preserve">Revenue</t>
  </si>
  <si>
    <t xml:space="preserve">  License &amp; Collaboration Revenue</t>
  </si>
  <si>
    <t xml:space="preserve">Total Revenue</t>
  </si>
  <si>
    <t xml:space="preserve">No product revenue; licensing ended 2023</t>
  </si>
  <si>
    <t xml:space="preserve">Operating Expenses</t>
  </si>
  <si>
    <t xml:space="preserve">  Research &amp; Development</t>
  </si>
  <si>
    <t xml:space="preserve">GPS Phase 3 REGAL trial costs</t>
  </si>
  <si>
    <t xml:space="preserve">  General &amp; Administrative</t>
  </si>
  <si>
    <t xml:space="preserve">Includes SBC</t>
  </si>
  <si>
    <t xml:space="preserve">Total Operating Expenses</t>
  </si>
  <si>
    <t xml:space="preserve">Operating Income (Loss)</t>
  </si>
  <si>
    <t xml:space="preserve">Other Income (Expense)</t>
  </si>
  <si>
    <t xml:space="preserve">  Interest Income</t>
  </si>
  <si>
    <t xml:space="preserve">  Interest Expense</t>
  </si>
  <si>
    <t xml:space="preserve">  Change in FV of Warrant Liabilities</t>
  </si>
  <si>
    <t xml:space="preserve">  Other Income / (Expense)</t>
  </si>
  <si>
    <t xml:space="preserve">Total Other Income (Expense)</t>
  </si>
  <si>
    <t xml:space="preserve">Income Tax Expense</t>
  </si>
  <si>
    <t xml:space="preserve">NET LOSS</t>
  </si>
  <si>
    <t xml:space="preserve">Shares Outstanding - Basic (M)</t>
  </si>
  <si>
    <t xml:space="preserve">Significant dilution from warrant exercises</t>
  </si>
  <si>
    <t xml:space="preserve">EPS (Basic)</t>
  </si>
  <si>
    <t xml:space="preserve">Key Metrics</t>
  </si>
  <si>
    <t xml:space="preserve">  R&amp;D as % of OpEx</t>
  </si>
  <si>
    <t xml:space="preserve">  Cash Burn per Quarter ($000s)</t>
  </si>
  <si>
    <t xml:space="preserve">Consolidated Balance Sheet (USD $000s)</t>
  </si>
  <si>
    <t xml:space="preserve">Dec 31, 2023</t>
  </si>
  <si>
    <t xml:space="preserve">Dec 31, 2024</t>
  </si>
  <si>
    <t xml:space="preserve">Sep 30, 2025</t>
  </si>
  <si>
    <t xml:space="preserve">ASSETS</t>
  </si>
  <si>
    <t xml:space="preserve">  Cash &amp; Cash Equivalents</t>
  </si>
  <si>
    <t xml:space="preserve">$71.8M by Dec 31, 2025 per 10-K</t>
  </si>
  <si>
    <t xml:space="preserve">  Prepaid Expenses &amp; Other Current</t>
  </si>
  <si>
    <t xml:space="preserve">  Other Receivables</t>
  </si>
  <si>
    <t xml:space="preserve">Total Current Assets</t>
  </si>
  <si>
    <t xml:space="preserve">Non-Current Assets</t>
  </si>
  <si>
    <t xml:space="preserve">  Operating Lease ROU Assets</t>
  </si>
  <si>
    <t xml:space="preserve">  Intangible Assets (Licenses)</t>
  </si>
  <si>
    <t xml:space="preserve">  Other Non-Current Assets</t>
  </si>
  <si>
    <t xml:space="preserve">Total Non-Current Assets</t>
  </si>
  <si>
    <t xml:space="preserve">TOTAL ASSETS</t>
  </si>
  <si>
    <t xml:space="preserve">LIABILITIES &amp; EQUITY</t>
  </si>
  <si>
    <t xml:space="preserve">  Accounts Payable &amp; Accrued Expenses</t>
  </si>
  <si>
    <t xml:space="preserve">  Accrued Clinical Trial Costs</t>
  </si>
  <si>
    <t xml:space="preserve">  Operating Lease Liability - Current</t>
  </si>
  <si>
    <t xml:space="preserve">  Warrant Liabilities</t>
  </si>
  <si>
    <t xml:space="preserve">  Other Current Liabilities</t>
  </si>
  <si>
    <t xml:space="preserve">Total Current Liabilities</t>
  </si>
  <si>
    <t xml:space="preserve">  Operating Lease Liability - Non-Current</t>
  </si>
  <si>
    <t xml:space="preserve">  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</si>
  <si>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</si>
  <si>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</si>
  <si>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</si>
  <si>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  Common Stock &amp; APIC</t>
  </si>
  <si>
    <t xml:space="preserve">  Accumulated Deficit</t>
  </si>
  <si>
    <t xml:space="preserve">  AOCI</t>
  </si>
  <si>
    <t xml:space="preserve">Total Shareholders' Equity</t>
  </si>
  <si>
    <t xml:space="preserve">TOTAL LIABILITIES &amp; EQUITY</t>
  </si>
  <si>
    <t xml:space="preserve">Balance Check (= 0)</t>
  </si>
  <si>
    <t xml:space="preserve">Key Ratios</t>
  </si>
  <si>
    <t xml:space="preserve">Current Ratio</t>
  </si>
  <si>
    <t xml:space="preserve">Cash as % of Total Assets</t>
  </si>
  <si>
    <t xml:space="preserve">Cash Runway (Quarters)</t>
  </si>
  <si>
    <t xml:space="preserve">Formula: Cash / Quarterly Burn</t>
  </si>
  <si>
    <t xml:space="preserve">Consolidated Cash Flow Statement (USD $000s)</t>
  </si>
  <si>
    <t xml:space="preserve">OPERATING ACTIVITIES</t>
  </si>
  <si>
    <t xml:space="preserve">  Net Loss</t>
  </si>
  <si>
    <t xml:space="preserve">  Adjustments:</t>
  </si>
  <si>
    <t xml:space="preserve">    Stock-Based Compensation</t>
  </si>
  <si>
    <t xml:space="preserve">    Change in FV of Warrants</t>
  </si>
  <si>
    <t xml:space="preserve">    Depreciation &amp; Amortization</t>
  </si>
  <si>
    <t xml:space="preserve">    Non-Cash Lease Expense</t>
  </si>
  <si>
    <t xml:space="preserve">  Changes in Working Capital:</t>
  </si>
  <si>
    <t xml:space="preserve">    Receivables &amp; Prepaids</t>
  </si>
  <si>
    <t xml:space="preserve">    Accounts Payable &amp; Accrued</t>
  </si>
  <si>
    <t xml:space="preserve">    Accrued Clinical Trial Costs</t>
  </si>
  <si>
    <t xml:space="preserve">    Other Working Capital</t>
  </si>
  <si>
    <t xml:space="preserve">Net Cash Used in Operations</t>
  </si>
  <si>
    <t xml:space="preserve">INVESTING ACTIVITIES</t>
  </si>
  <si>
    <t xml:space="preserve">  Purchase of Equipment</t>
  </si>
  <si>
    <t xml:space="preserve">  Other Investing</t>
  </si>
  <si>
    <t xml:space="preserve">Net Cash from Investing</t>
  </si>
  <si>
    <t xml:space="preserve">FINANCING ACTIVITIES</t>
  </si>
  <si>
    <t xml:space="preserve">  Proceeds from Public Offerings</t>
  </si>
  <si>
    <t xml:space="preserve">  Proceeds from Warrant Exercises</t>
  </si>
  <si>
    <t xml:space="preserve">$67.2M in warrant exercises in 2025</t>
  </si>
  <si>
    <t xml:space="preserve">  Offering Costs</t>
  </si>
  <si>
    <t xml:space="preserve">  Other Financing</t>
  </si>
  <si>
    <t xml:space="preserve">Net Cash from Financing</t>
  </si>
  <si>
    <t xml:space="preserve">NET CHANGE IN CASH</t>
  </si>
  <si>
    <t xml:space="preserve">Cash, Beginning</t>
  </si>
  <si>
    <t xml:space="preserve">Cash, End of Period</t>
  </si>
  <si>
    <t xml:space="preserve">SELLAS LIFE SCIENCES — Risk-Adjusted NPV (rNPV) Model</t>
  </si>
  <si>
    <t xml:space="preserve">Bull / Base / Bear Scenario Analysis (USD $000s unless noted)</t>
  </si>
  <si>
    <t xml:space="preserve">KEY ASSUMPTIONS</t>
  </si>
  <si>
    <t xml:space="preserve">GPS REGAL Phase 3 Success Probability</t>
  </si>
  <si>
    <t xml:space="preserve">Base: ~40% Phase 3 oncology; +5% for positive interim</t>
  </si>
  <si>
    <t xml:space="preserve">GPS Peak Revenue Year</t>
  </si>
  <si>
    <t xml:space="preserve">~5 years post-approval</t>
  </si>
  <si>
    <t xml:space="preserve">GPS Peak Revenue (USD $M) - Bull</t>
  </si>
  <si>
    <t xml:space="preserve">Broad label, strong uptake</t>
  </si>
  <si>
    <t xml:space="preserve">GPS Peak Revenue (USD $M) - Base</t>
  </si>
  <si>
    <t xml:space="preserve">AML CR2 maintenance niche</t>
  </si>
  <si>
    <t xml:space="preserve">GPS Peak Revenue (USD $M) - Bear</t>
  </si>
  <si>
    <t xml:space="preserve">Trial failure, no approval</t>
  </si>
  <si>
    <t xml:space="preserve">SLS009 Phase 2 → Approval Probability</t>
  </si>
  <si>
    <t xml:space="preserve">Phase 2 → approval ~15-25%</t>
  </si>
  <si>
    <t xml:space="preserve">SLS009 Peak Revenue (USD $M)</t>
  </si>
  <si>
    <t xml:space="preserve">r/r AML + newly diagnosed</t>
  </si>
  <si>
    <t xml:space="preserve">Royalty Rate on GPS China License</t>
  </si>
  <si>
    <t xml:space="preserve">3D Medicines agreement</t>
  </si>
  <si>
    <t xml:space="preserve">Discount Rate (rNPV)</t>
  </si>
  <si>
    <t xml:space="preserve">Biotech risk premium</t>
  </si>
  <si>
    <t xml:space="preserve">Terminal Growth Rate</t>
  </si>
  <si>
    <t xml:space="preserve">Patent cliff; no terminal growth</t>
  </si>
  <si>
    <t xml:space="preserve">Tax Rate (effective)</t>
  </si>
  <si>
    <t xml:space="preserve">US federal; NOL offsets early years</t>
  </si>
  <si>
    <t xml:space="preserve">Shares Outstanding - Diluted (M)</t>
  </si>
  <si>
    <t xml:space="preserve">Includes warrants, options</t>
  </si>
  <si>
    <t xml:space="preserve">Current Share Price (USD)</t>
  </si>
  <si>
    <t xml:space="preserve">Source: NASDAQ, March 2026</t>
  </si>
  <si>
    <t xml:space="preserve">Current Market Cap (USD $M)</t>
  </si>
  <si>
    <t xml:space="preserve">BULL CASE — GPS Approved + Strong Uptake (Prob: 25%)</t>
  </si>
  <si>
    <t xml:space="preserve">Probability Weight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</si>
  <si>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</si>
  <si>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</si>
  <si>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</si>
  <si>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</si>
  <si>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</si>
  <si>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</si>
  <si>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</si>
  <si>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</si>
  <si>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GPS Revenue ($M)</t>
  </si>
  <si>
    <t xml:space="preserve">SLS009 Revenue ($M)</t>
  </si>
  <si>
    <t xml:space="preserve">China Royalties ($M)</t>
  </si>
  <si>
    <t xml:space="preserve">Total Revenue ($M)</t>
  </si>
  <si>
    <t xml:space="preserve">  COGS (25% of Rev)</t>
  </si>
  <si>
    <t xml:space="preserve">  R&amp;D Expense ($M)</t>
  </si>
  <si>
    <t xml:space="preserve">  G&amp;A Expense ($M)</t>
  </si>
  <si>
    <t xml:space="preserve">EBITDA ($M)</t>
  </si>
  <si>
    <t xml:space="preserve">  Taxes</t>
  </si>
  <si>
    <t xml:space="preserve">NOPAT ($M)</t>
  </si>
  <si>
    <t xml:space="preserve">  Plus: D&amp;A ($M)</t>
  </si>
  <si>
    <t xml:space="preserve">  Less: Capex ($M)</t>
  </si>
  <si>
    <t xml:space="preserve">  Less: ΔWC ($M)</t>
  </si>
  <si>
    <t xml:space="preserve">Free Cash Flow ($M)</t>
  </si>
  <si>
    <t xml:space="preserve">Discount Factor</t>
  </si>
  <si>
    <t xml:space="preserve">PV of FCF ($M)</t>
  </si>
  <si>
    <t xml:space="preserve">Sum of PV of FCFs ($M)</t>
  </si>
  <si>
    <t xml:space="preserve">Formula: =SUM(PV of each year)</t>
  </si>
  <si>
    <t xml:space="preserve">Terminal Value ($M)</t>
  </si>
  <si>
    <t xml:space="preserve">Formula: PV of Terminal FCF / WACC (no growth)</t>
  </si>
  <si>
    <t xml:space="preserve">Bull Case NPV ($M)</t>
  </si>
  <si>
    <t xml:space="preserve">Bull Implied Price/Share (USD)</t>
  </si>
  <si>
    <t xml:space="preserve">BASE CASE — GPS Approved + Moderate Uptake (Prob: 45%)</t>
  </si>
  <si>
    <t xml:space="preserve">Base Case NPV ($M)</t>
  </si>
  <si>
    <t xml:space="preserve">Base Implied Price/Share (USD)</t>
  </si>
  <si>
    <t xml:space="preserve">BEAR CASE — GPS Fails Phase 3 (Prob: 30%)</t>
  </si>
  <si>
    <t xml:space="preserve">Bear Case NPV ($M)</t>
  </si>
  <si>
    <t xml:space="preserve">Bear Implied Price/Share (USD)</t>
  </si>
  <si>
    <t xml:space="preserve">NPV ($M)</t>
  </si>
  <si>
    <t xml:space="preserve">Weight</t>
  </si>
  <si>
    <t xml:space="preserve">Weighted NPV ($M)</t>
  </si>
  <si>
    <t xml:space="preserve">Check: Weights Sum to 100%</t>
  </si>
  <si>
    <t xml:space="preserve">WEIGHTED rNPV ($M)</t>
  </si>
  <si>
    <t xml:space="preserve">Weighted rNPV Price/Share (USD)</t>
  </si>
  <si>
    <t xml:space="preserve">Formula: =(Weighted NPV + Cash) / Diluted Shares</t>
  </si>
  <si>
    <t xml:space="preserve">Current Price</t>
  </si>
  <si>
    <t xml:space="preserve">Upside / Downside</t>
  </si>
  <si>
    <t xml:space="preserve">GPS REGAL Phase 3 — Probability of Success Analysis</t>
  </si>
  <si>
    <t xml:space="preserve">ONCOLOGY DRUG APPROVAL RATES BY PHASE</t>
  </si>
  <si>
    <t xml:space="preserve">Phase</t>
  </si>
  <si>
    <t xml:space="preserve">General Oncology</t>
  </si>
  <si>
    <t xml:space="preserve">Cancer Vaccines</t>
  </si>
  <si>
    <t xml:space="preserve">GPS (Adjusted)</t>
  </si>
  <si>
    <t xml:space="preserve">Phase 1 → Phase 2</t>
  </si>
  <si>
    <t xml:space="preserve">Phase 2 → Phase 3</t>
  </si>
  <si>
    <t xml:space="preserve">Phase 3 → NDA/BLA</t>
  </si>
  <si>
    <t xml:space="preserve">NDA/BLA → Approval</t>
  </si>
  <si>
    <t xml:space="preserve">Overall (Phase 1 → Approval)</t>
  </si>
  <si>
    <t xml:space="preserve">GPS REGAL — WHY PROBABILITY IS ELEVATED</t>
  </si>
  <si>
    <t xml:space="preserve">Base Phase 3 Oncology Success Rate</t>
  </si>
  <si>
    <t xml:space="preserve">Historical average</t>
  </si>
  <si>
    <t xml:space="preserve">  + Positive IDMC Interim (no futility)</t>
  </si>
  <si>
    <t xml:space="preserve">IDMC recommended continuation</t>
  </si>
  <si>
    <t xml:space="preserve">  + 80% Immunogenicity Response</t>
  </si>
  <si>
    <t xml:space="preserve">Exceeds Phase 2 response rate</t>
  </si>
  <si>
    <t xml:space="preserve">  + OS Endpoint (regulatory favorable)</t>
  </si>
  <si>
    <t xml:space="preserve">OS+ trials: 39.7% approval rate</t>
  </si>
  <si>
    <t xml:space="preserve">  + 72/80 Events Reached (near final)</t>
  </si>
  <si>
    <t xml:space="preserve">Trial nearly complete without stopping</t>
  </si>
  <si>
    <t xml:space="preserve">  + Phase 2 Signal (21mo vs 5.4mo OS)</t>
  </si>
  <si>
    <t xml:space="preserve">Strong Phase 2 predecessor data</t>
  </si>
  <si>
    <t xml:space="preserve">  - Cancer Vaccine Historical Failures</t>
  </si>
  <si>
    <t xml:space="preserve">Cancer vaccines have high failure rate</t>
  </si>
  <si>
    <t xml:space="preserve">  - Small Trial Size (~125 patients)</t>
  </si>
  <si>
    <t xml:space="preserve">Limited statistical power risk</t>
  </si>
  <si>
    <t xml:space="preserve">ADJUSTED PHASE 3 SUCCESS PROBABILITY</t>
  </si>
  <si>
    <t xml:space="preserve">TIME-ON-TRIAL SURVIVAL SIGNAL ANALYSIS</t>
  </si>
  <si>
    <t xml:space="preserve">Milestone</t>
  </si>
  <si>
    <t xml:space="preserve">Events / Total</t>
  </si>
  <si>
    <t xml:space="preserve">Median Follow-Up</t>
  </si>
  <si>
    <t xml:space="preserve">Signal Strength</t>
  </si>
  <si>
    <t xml:space="preserve">Implication</t>
  </si>
  <si>
    <t xml:space="preserve">Trial Start (2020)</t>
  </si>
  <si>
    <t xml:space="preserve">0 / 80</t>
  </si>
  <si>
    <t xml:space="preserve">0 months</t>
  </si>
  <si>
    <t xml:space="preserve">None</t>
  </si>
  <si>
    <t xml:space="preserve">Baseline</t>
  </si>
  <si>
    <t xml:space="preserve">First Interim (2024)</t>
  </si>
  <si>
    <t xml:space="preserve">~40 / 80</t>
  </si>
  <si>
    <t xml:space="preserve">~8 months</t>
  </si>
  <si>
    <t xml:space="preserve">Moderate</t>
  </si>
  <si>
    <t xml:space="preserve">Exceeded futility boundary</t>
  </si>
  <si>
    <t xml:space="preserve">IDMC Review (Aug 2025)</t>
  </si>
  <si>
    <t xml:space="preserve">~55 / 80</t>
  </si>
  <si>
    <t xml:space="preserve">~13.5 months</t>
  </si>
  <si>
    <t xml:space="preserve">Strong</t>
  </si>
  <si>
    <t xml:space="preserve">Recommended continuation</t>
  </si>
  <si>
    <t xml:space="preserve">Dec 2025 Update</t>
  </si>
  <si>
    <t xml:space="preserve">72 / 80</t>
  </si>
  <si>
    <t xml:space="preserve">&gt;18 months</t>
  </si>
  <si>
    <t xml:space="preserve">Very Strong</t>
  </si>
  <si>
    <t xml:space="preserve">Survival exceeding expectations</t>
  </si>
  <si>
    <t xml:space="preserve">Final Analysis (2026E)</t>
  </si>
  <si>
    <t xml:space="preserve">80 / 80</t>
  </si>
  <si>
    <t xml:space="preserve">~24+ months</t>
  </si>
  <si>
    <t xml:space="preserve">Definitive</t>
  </si>
  <si>
    <t xml:space="preserve">Primary endpoint readout</t>
  </si>
  <si>
    <t xml:space="preserve">EVENT ACCUMULATION (% toward final analysis)</t>
  </si>
  <si>
    <t xml:space="preserve">Quarter</t>
  </si>
  <si>
    <t xml:space="preserve">% Events Complete</t>
  </si>
  <si>
    <t xml:space="preserve">Cumulative Events</t>
  </si>
  <si>
    <t xml:space="preserve">Q1 2023</t>
  </si>
  <si>
    <t xml:space="preserve">Q2 2023</t>
  </si>
  <si>
    <t xml:space="preserve">Q3 2023</t>
  </si>
  <si>
    <t xml:space="preserve">Q4 2023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</si>
  <si>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</si>
  <si>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</si>
  <si>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</si>
  <si>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</si>
  <si>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</si>
  <si>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</si>
  <si>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</si>
  <si>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</si>
  <si>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2026E</t>
  </si>
  <si>
    <t xml:space="preserve">Q2 2026E</t>
  </si>
  <si>
    <t xml:space="preserve">WHY 'MORE TIME = BETTER' FOR GPS</t>
  </si>
  <si>
    <t xml:space="preserve">1. Event-Driven Design</t>
  </si>
  <si>
    <t xml:space="preserve">REGAL needs 80 deaths for final analysis. Slower event accumulation = patients living longer.</t>
  </si>
  <si>
    <t xml:space="preserve">2. Crossed Futility</t>
  </si>
  <si>
    <t xml:space="preserve">IDMC confirmed GPS exceeded the pre-set futility boundary — the trial would have been stopped if GPS showed no benefit.</t>
  </si>
  <si>
    <t xml:space="preserve">3. Immune Memory</t>
  </si>
  <si>
    <t xml:space="preserve">80% of GPS patients developed WT1-specific T-cell responses. Immune memory strengthens over time.</t>
  </si>
  <si>
    <t xml:space="preserve">4. Historical Comparison</t>
  </si>
  <si>
    <t xml:space="preserve">AML CR2 patients historically survive ~6 months. GPS Phase 3 median follow-up &gt;13.5 months with &lt;50% events = significant signal.</t>
  </si>
  <si>
    <t xml:space="preserve">5. Phase 2 Consistency</t>
  </si>
  <si>
    <t xml:space="preserve">Phase 2: 21-month median OS vs 5.4 months standard care. Phase 3 interim tracking consistent with this.</t>
  </si>
  <si>
    <t xml:space="preserve">SELLAS LIFE SCIENCES — M&amp;A &amp; Buyout Analysis</t>
  </si>
  <si>
    <t xml:space="preserve">PRECEDENT TRANSACTIONS — Cancer Immunotherapy / Vaccine M&amp;A</t>
  </si>
  <si>
    <t xml:space="preserve">Target</t>
  </si>
  <si>
    <t xml:space="preserve">Acquirer</t>
  </si>
  <si>
    <t xml:space="preserve">Year</t>
  </si>
  <si>
    <t xml:space="preserve">Deal Value ($M)</t>
  </si>
  <si>
    <t xml:space="preserve">Premium</t>
  </si>
  <si>
    <t xml:space="preserve">Stage</t>
  </si>
  <si>
    <t xml:space="preserve">Dynavax Technologies</t>
  </si>
  <si>
    <t xml:space="preserve">Sanofi</t>
  </si>
  <si>
    <t xml:space="preserve">2025</t>
  </si>
  <si>
    <t xml:space="preserve">Commercial</t>
  </si>
  <si>
    <t xml:space="preserve">Vaccine platform; $15.50/share</t>
  </si>
  <si>
    <t xml:space="preserve">Mirati Therapeutics</t>
  </si>
  <si>
    <t xml:space="preserve">BMS</t>
  </si>
  <si>
    <t xml:space="preserve">2024</t>
  </si>
  <si>
    <t xml:space="preserve">Phase 3 / FDA</t>
  </si>
  <si>
    <t xml:space="preserve">KRAS inhibitor; post-approval</t>
  </si>
  <si>
    <t xml:space="preserve">Seagen</t>
  </si>
  <si>
    <t xml:space="preserve">Pfizer</t>
  </si>
  <si>
    <t xml:space="preserve">2023</t>
  </si>
  <si>
    <t xml:space="preserve">ADC oncology platform</t>
  </si>
  <si>
    <t xml:space="preserve">Prometheus Bio</t>
  </si>
  <si>
    <t xml:space="preserve">Merck</t>
  </si>
  <si>
    <t xml:space="preserve">Phase 2/3</t>
  </si>
  <si>
    <t xml:space="preserve">Immunology; high premium</t>
  </si>
  <si>
    <t xml:space="preserve">Immunomedics</t>
  </si>
  <si>
    <t xml:space="preserve">Gilead</t>
  </si>
  <si>
    <t xml:space="preserve">2020</t>
  </si>
  <si>
    <t xml:space="preserve">Approved</t>
  </si>
  <si>
    <t xml:space="preserve">ADC; Trodelvy</t>
  </si>
  <si>
    <t xml:space="preserve">Forty Seven</t>
  </si>
  <si>
    <t xml:space="preserve">Phase 2</t>
  </si>
  <si>
    <t xml:space="preserve">CD47 immuno-oncology</t>
  </si>
  <si>
    <t xml:space="preserve">Celgene (oncology)</t>
  </si>
  <si>
    <t xml:space="preserve">2019</t>
  </si>
  <si>
    <t xml:space="preserve">Revlimid franchise</t>
  </si>
  <si>
    <t xml:space="preserve">Kite Pharma</t>
  </si>
  <si>
    <t xml:space="preserve">2017</t>
  </si>
  <si>
    <t xml:space="preserve">Pre-approval</t>
  </si>
  <si>
    <t xml:space="preserve">CAR-T cell therapy</t>
  </si>
  <si>
    <t xml:space="preserve">Average Premium</t>
  </si>
  <si>
    <t xml:space="preserve">Median Premium</t>
  </si>
  <si>
    <t xml:space="preserve">BUYOUT SCENARIO ANALYSIS FOR SLS</t>
  </si>
  <si>
    <t xml:space="preserve">Current Market Cap ($M)</t>
  </si>
  <si>
    <t xml:space="preserve">Current Share Price</t>
  </si>
  <si>
    <t xml:space="preserve">Shares Outstanding (M)</t>
  </si>
  <si>
    <t xml:space="preserve">Scenario</t>
  </si>
  <si>
    <t xml:space="preserve">Buyout Price/Share</t>
  </si>
  <si>
    <t xml:space="preserve">Total Deal Value ($M)</t>
  </si>
  <si>
    <t xml:space="preserve">Upside from Current</t>
  </si>
  <si>
    <t xml:space="preserve">Pre-Approval (Phase 3 data pending)</t>
  </si>
  <si>
    <t xml:space="preserve">Post-Positive Phase 3 Data</t>
  </si>
  <si>
    <t xml:space="preserve">Post-FDA Approval</t>
  </si>
  <si>
    <t xml:space="preserve">Competitive Bidding War</t>
  </si>
  <si>
    <t xml:space="preserve">At Median Precedent Premium</t>
  </si>
  <si>
    <t xml:space="preserve">POTENTIAL ACQUIRERS</t>
  </si>
  <si>
    <t xml:space="preserve">Company</t>
  </si>
  <si>
    <t xml:space="preserve">Mkt Cap ($B)</t>
  </si>
  <si>
    <t xml:space="preserve">Oncology Focus</t>
  </si>
  <si>
    <t xml:space="preserve">Strategic Fit</t>
  </si>
  <si>
    <t xml:space="preserve">Likelihood</t>
  </si>
  <si>
    <t xml:space="preserve">Pfizer (PFE)</t>
  </si>
  <si>
    <t xml:space="preserve">Hematology, immunology</t>
  </si>
  <si>
    <t xml:space="preserve">AML pipeline gap; vaccine expertise</t>
  </si>
  <si>
    <t xml:space="preserve">Medium</t>
  </si>
  <si>
    <t xml:space="preserve">Bristol-Myers Squibb (BMY)</t>
  </si>
  <si>
    <t xml:space="preserve">Immuno-oncology leader</t>
  </si>
  <si>
    <t xml:space="preserve">BMS has Revlimid AML franchise</t>
  </si>
  <si>
    <t xml:space="preserve">Medium-High</t>
  </si>
  <si>
    <t xml:space="preserve">AbbVie (ABBV)</t>
  </si>
  <si>
    <t xml:space="preserve">Venetoclax in AML</t>
  </si>
  <si>
    <t xml:space="preserve">Complements ven/aza combo</t>
  </si>
  <si>
    <t xml:space="preserve">Merck (MRK)</t>
  </si>
  <si>
    <t xml:space="preserve">Keytruda IO franchise</t>
  </si>
  <si>
    <t xml:space="preserve">GPS + pembrolizumab combo data</t>
  </si>
  <si>
    <t xml:space="preserve">Low-Medium</t>
  </si>
  <si>
    <t xml:space="preserve">Johnson &amp; Johnson (JNJ)</t>
  </si>
  <si>
    <t xml:space="preserve">Broad oncology</t>
  </si>
  <si>
    <t xml:space="preserve">Vaccine manufacturing capability</t>
  </si>
  <si>
    <t xml:space="preserve">Low</t>
  </si>
  <si>
    <t xml:space="preserve">Gilead (GILD)</t>
  </si>
  <si>
    <t xml:space="preserve">Cell therapy / onc</t>
  </si>
  <si>
    <t xml:space="preserve">History of bold onc acquisitions</t>
  </si>
  <si>
    <t xml:space="preserve">CVR (CONTINGENT VALUE RIGHTS) ANALYSIS</t>
  </si>
  <si>
    <t xml:space="preserve">37% of recent biotech M&amp;A deal value is structured as CVRs (milestone-based payments)</t>
  </si>
  <si>
    <t xml:space="preserve">Component</t>
  </si>
  <si>
    <t xml:space="preserve">Per Share</t>
  </si>
  <si>
    <t xml:space="preserve">Total ($M)</t>
  </si>
  <si>
    <t xml:space="preserve">Trigger</t>
  </si>
  <si>
    <t xml:space="preserve">Upfront Cash</t>
  </si>
  <si>
    <t xml:space="preserve">At close</t>
  </si>
  <si>
    <t xml:space="preserve">CVR 1: Phase 3 Success</t>
  </si>
  <si>
    <t xml:space="preserve">Positive REGAL top-line</t>
  </si>
  <si>
    <t xml:space="preserve">CVR 2: FDA Approval</t>
  </si>
  <si>
    <t xml:space="preserve">NDA/BLA approval</t>
  </si>
  <si>
    <t xml:space="preserve">CVR 3: Revenue Milestone ($200M)</t>
  </si>
  <si>
    <t xml:space="preserve">Annual GPS revenue &gt; $200M</t>
  </si>
  <si>
    <t xml:space="preserve">Total Potential Deal Value</t>
  </si>
  <si>
    <t xml:space="preserve">BUYOUT PROBABILITY ASSESSMENT</t>
  </si>
  <si>
    <t xml:space="preserve">Pre-Data Readout (Current)</t>
  </si>
  <si>
    <t xml:space="preserve">Trial near complete; acquirer may wait</t>
  </si>
  <si>
    <t xml:space="preserve">Post-Positive Phase 3</t>
  </si>
  <si>
    <t xml:space="preserve">Validated asset; high pharma interest</t>
  </si>
  <si>
    <t xml:space="preserve">De-risked; commercial stage</t>
  </si>
  <si>
    <t xml:space="preserve">Within 3 Years</t>
  </si>
  <si>
    <t xml:space="preserve">Multiple catalyst windows</t>
  </si>
  <si>
    <t xml:space="preserve">SELLAS LIFE SCIENCES — Peer Comparables &amp; Valuation Summary</t>
  </si>
  <si>
    <t xml:space="preserve">COMPARABLE COMPANIES — Clinical-Stage Oncology / Immunotherapy</t>
  </si>
  <si>
    <t xml:space="preserve">Ticker</t>
  </si>
  <si>
    <t xml:space="preserve">Mkt Cap ($M)</t>
  </si>
  <si>
    <t xml:space="preserve">Cash ($M)</t>
  </si>
  <si>
    <t xml:space="preserve">Lead Stage</t>
  </si>
  <si>
    <t xml:space="preserve">Burn Rate ($M/yr)</t>
  </si>
  <si>
    <t xml:space="preserve">Cash Runway (Yrs)</t>
  </si>
  <si>
    <t xml:space="preserve">Pipeline Assets</t>
  </si>
  <si>
    <t xml:space="preserve">Agenus Inc</t>
  </si>
  <si>
    <t xml:space="preserve">AGEN</t>
  </si>
  <si>
    <t xml:space="preserve">Phase 3</t>
  </si>
  <si>
    <t xml:space="preserve">Inovio Pharmaceuticals</t>
  </si>
  <si>
    <t xml:space="preserve">INO</t>
  </si>
  <si>
    <t xml:space="preserve">Gritstone bio</t>
  </si>
  <si>
    <t xml:space="preserve">GRTS</t>
  </si>
  <si>
    <t xml:space="preserve">Marker Therapeutics</t>
  </si>
  <si>
    <t xml:space="preserve">MRKR</t>
  </si>
  <si>
    <t xml:space="preserve">SELLAS Life Sciences</t>
  </si>
  <si>
    <t xml:space="preserve">SLS</t>
  </si>
  <si>
    <t xml:space="preserve">Peer Average (excl. SLS)</t>
  </si>
  <si>
    <t xml:space="preserve">COMPREHENSIVE VALUATION SUMMARY</t>
  </si>
  <si>
    <t xml:space="preserve">Methodology</t>
  </si>
  <si>
    <t xml:space="preserve">Bull ($)</t>
  </si>
  <si>
    <t xml:space="preserve">Base ($)</t>
  </si>
  <si>
    <t xml:space="preserve">Bear ($)</t>
  </si>
  <si>
    <t xml:space="preserve">Wtd Avg ($)</t>
  </si>
  <si>
    <t xml:space="preserve">rNPV Model</t>
  </si>
  <si>
    <t xml:space="preserve">Buyout Value (Pre-Data)</t>
  </si>
  <si>
    <t xml:space="preserve">Buyout Value (Post-Approval)</t>
  </si>
  <si>
    <t xml:space="preserve">Sum-of-Parts (GPS + SLS009)</t>
  </si>
  <si>
    <t xml:space="preserve">Cash per Share (Floor)</t>
  </si>
  <si>
    <t xml:space="preserve">BLENDED TARGET PRICE (USD)</t>
  </si>
  <si>
    <t xml:space="preserve">Formula: =SUMPRODUCT(Wtd Avg Prices × Model Weights)</t>
  </si>
  <si>
    <t xml:space="preserve">KEY RISKS</t>
  </si>
  <si>
    <t xml:space="preserve">  1. Binary Phase 3 outcome: GPS success/failure is the dominant variable</t>
  </si>
  <si>
    <t xml:space="preserve">  2. 27% short interest indicates significant market skepticism</t>
  </si>
  <si>
    <t xml:space="preserve">  3. Cash burn (~$31M/yr) requires continued capital raises if trial delays</t>
  </si>
  <si>
    <t xml:space="preserve">  4. Cancer vaccines have historically high failure rates despite promising signals</t>
  </si>
  <si>
    <t xml:space="preserve">  5. Small trial size (~125 patients) limits statistical power</t>
  </si>
  <si>
    <t xml:space="preserve">  6. Dilution risk: warrants + future offerings could increase share count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</si>
</sst>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#,##0.0"/>
    <numFmt numFmtId="167" formatCode="\$#,##0.00"/>
    <numFmt numFmtId="168" formatCode="0.0%"/>
    <numFmt numFmtId="169" formatCode="0.00\x"/>
    <numFmt numFmtId="170" formatCode="0.0"/>
    <numFmt numFmtId="171" formatCode="0"/>
    <numFmt numFmtId="172" formatCode="\$#,##0"/>
    <numFmt numFmtId="173" formatCode="0.0000"/>
    <numFmt numFmtId="174" formatCode="0%"/>
    <numFmt numFmtId="17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rgb="FFFFFFCC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78787"/>
      <rgbColor rgb="FF9999FF"/>
      <rgbColor rgb="FFC0504D"/>
      <rgbColor rgb="FFFFFF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2F2F2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4A7EBB"/>
      <rgbColor rgb="FF888888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Phase Transition Success Rates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'Clinical Probability'!B4</c:f>
              <c:strCache>
                <c:ptCount val="1"/>
                <c:pt idx="0">
                  <c:v>General Oncology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'Clinical Probability'!$A$5:$A$8</c:f>
              <c:strCache>
                <c:ptCount val="4"/>
                <c:pt idx="0">
                  <c:v>Phase 1 → Phase 2</c:v>
                </c:pt>
                <c:pt idx="1">
                  <c:v>Phase 2 → Phase 3</c:v>
                </c:pt>
                <c:pt idx="2">
                  <c:v>Phase 3 → NDA/BLA</c:v>
                </c:pt>
                <c:pt idx="3">
                  <c:v>NDA/BLA → Approval</c:v>
                </c:pt>
              </c:strCache>
            </c:strRef>
          </c:cat>
          <c:val>
            <c:numRef>
              <c:f>'Clinical Probability'!$B$5:$B$8</c:f>
              <c:numCache>
                <c:formatCode>0.0%</c:formatCode>
                <c:ptCount val="4"/>
                <c:pt idx="0">
                  <c:v>0.52</c:v>
                </c:pt>
                <c:pt idx="1">
                  <c:v>0.289</c:v>
                </c:pt>
                <c:pt idx="2">
                  <c:v>0.355</c:v>
                </c:pt>
                <c:pt idx="3">
                  <c:v>0.85</c:v>
                </c:pt>
              </c:numCache>
            </c:numRef>
          </c:val>
        </c:ser>
        <c:ser>
          <c:idx val="1"/>
          <c:order val="1"/>
          <c:tx>
            <c:strRef>
              <c:f>'Clinical Probability'!C4</c:f>
              <c:strCache>
                <c:ptCount val="1"/>
                <c:pt idx="0">
                  <c:v>Cancer Vaccines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'Clinical Probability'!$A$5:$A$8</c:f>
              <c:strCache>
                <c:ptCount val="4"/>
                <c:pt idx="0">
                  <c:v>Phase 1 → Phase 2</c:v>
                </c:pt>
                <c:pt idx="1">
                  <c:v>Phase 2 → Phase 3</c:v>
                </c:pt>
                <c:pt idx="2">
                  <c:v>Phase 3 → NDA/BLA</c:v>
                </c:pt>
                <c:pt idx="3">
                  <c:v>NDA/BLA → Approval</c:v>
                </c:pt>
              </c:strCache>
            </c:strRef>
          </c:cat>
          <c:val>
            <c:numRef>
              <c:f>'Clinical Probability'!$C$5:$C$8</c:f>
              <c:numCache>
                <c:formatCode>0.0%</c:formatCode>
                <c:ptCount val="4"/>
                <c:pt idx="0">
                  <c:v>0.45</c:v>
                </c:pt>
                <c:pt idx="1">
                  <c:v>0.2</c:v>
                </c:pt>
                <c:pt idx="2">
                  <c:v>0.25</c:v>
                </c:pt>
                <c:pt idx="3">
                  <c:v>0.8</c:v>
                </c:pt>
              </c:numCache>
            </c:numRef>
          </c:val>
        </c:ser>
        <c:ser>
          <c:idx val="2"/>
          <c:order val="2"/>
          <c:tx>
            <c:strRef>
              <c:f>'Clinical Probability'!D4</c:f>
              <c:strCache>
                <c:ptCount val="1"/>
                <c:pt idx="0">
                  <c:v>GPS (Adjusted)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'Clinical Probability'!$A$5:$A$8</c:f>
              <c:strCache>
                <c:ptCount val="4"/>
                <c:pt idx="0">
                  <c:v>Phase 1 → Phase 2</c:v>
                </c:pt>
                <c:pt idx="1">
                  <c:v>Phase 2 → Phase 3</c:v>
                </c:pt>
                <c:pt idx="2">
                  <c:v>Phase 3 → NDA/BLA</c:v>
                </c:pt>
                <c:pt idx="3">
                  <c:v>NDA/BLA → Approval</c:v>
                </c:pt>
              </c:strCache>
            </c:strRef>
          </c:cat>
          <c:val>
            <c:numRef>
              <c:f>'Clinical Probability'!$D$5:$D$8</c:f>
              <c:numCache>
                <c:formatCode>0.0%</c:formatCode>
                <c:ptCount val="4"/>
                <c:pt idx="0">
                  <c:v>0.52</c:v>
                </c:pt>
                <c:pt idx="1">
                  <c:v>0.35</c:v>
                </c:pt>
                <c:pt idx="2">
                  <c:v>0.45</c:v>
                </c:pt>
                <c:pt idx="3">
                  <c:v>0.85</c:v>
                </c:pt>
              </c:numCache>
            </c:numRef>
          </c:val>
        </c:ser>
        <c:gapWidth val="150"/>
        <c:overlap val="0"/>
        <c:axId val="51597604"/>
        <c:axId val="41850455"/>
      </c:barChart>
      <c:catAx>
        <c:axId val="515976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Phase Transition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50455"/>
        <c:crosses val="autoZero"/>
        <c:auto val="1"/>
        <c:lblAlgn val="ctr"/>
        <c:lblOffset val="100"/>
        <c:noMultiLvlLbl val="0"/>
      </c:catAx>
      <c:valAx>
        <c:axId val="41850455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5976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GPS REGAL: Event Accumulation Toward Final Analysis (80 Events)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'Clinical Probability'!B50</c:f>
              <c:strCache>
                <c:ptCount val="1"/>
                <c:pt idx="0">
                  <c:v>% Events Complete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'Clinical Probability'!$A$51:$A$64</c:f>
              <c:strCache>
                <c:ptCount val="14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  <c:pt idx="12">
                  <c:v>Q1 2026E</c:v>
                </c:pt>
                <c:pt idx="13">
                  <c:v>Q2 2026E</c:v>
                </c:pt>
              </c:strCache>
            </c:strRef>
          </c:cat>
          <c:val>
            <c:numRef>
              <c:f>'Clinical Probability'!$B$51:$B$64</c:f>
              <c:numCache>
                <c:formatCode>0.0%</c:formatCode>
                <c:ptCount val="14"/>
                <c:pt idx="0">
                  <c:v>0.15</c:v>
                </c:pt>
                <c:pt idx="1">
                  <c:v>0.22</c:v>
                </c:pt>
                <c:pt idx="2">
                  <c:v>0.3</c:v>
                </c:pt>
                <c:pt idx="3">
                  <c:v>0.37</c:v>
                </c:pt>
                <c:pt idx="4">
                  <c:v>0.44</c:v>
                </c:pt>
                <c:pt idx="5">
                  <c:v>0.5</c:v>
                </c:pt>
                <c:pt idx="6">
                  <c:v>0.56</c:v>
                </c:pt>
                <c:pt idx="7">
                  <c:v>0.62</c:v>
                </c:pt>
                <c:pt idx="8">
                  <c:v>0.69</c:v>
                </c:pt>
                <c:pt idx="9">
                  <c:v>0.75</c:v>
                </c:pt>
                <c:pt idx="10">
                  <c:v>0.81</c:v>
                </c:pt>
                <c:pt idx="11">
                  <c:v>0.9</c:v>
                </c:pt>
                <c:pt idx="12">
                  <c:v>0.95</c:v>
                </c:pt>
                <c:pt idx="13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008447"/>
        <c:axId val="36025058"/>
      </c:lineChart>
      <c:catAx>
        <c:axId val="160084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025058"/>
        <c:crosses val="autoZero"/>
        <c:auto val="1"/>
        <c:lblAlgn val="ctr"/>
        <c:lblOffset val="100"/>
        <c:noMultiLvlLbl val="0"/>
      </c:catAx>
      <c:valAx>
        <c:axId val="36025058"/>
        <c:scaling>
          <c:orientation val="minMax"/>
          <c:max val="1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0084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10080</xdr:rowOff>
    </xdr:from>
    <xdr:to>
      <xdr:col>5</xdr:col>
      <xdr:colOff>730080</xdr:colOff>
      <xdr:row>36</xdr:row>
      <xdr:rowOff>96840</xdr:rowOff>
    </xdr:to>
    <xdr:graphicFrame>
      <xdr:nvGraphicFramePr>
        <xdr:cNvPr id="0" name="Chart 1"/>
        <xdr:cNvGraphicFramePr/>
      </xdr:nvGraphicFramePr>
      <xdr:xfrm>
        <a:off x="0" y="20955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62</xdr:row>
      <xdr:rowOff>90360</xdr:rowOff>
    </xdr:from>
    <xdr:to>
      <xdr:col>5</xdr:col>
      <xdr:colOff>730080</xdr:colOff>
      <xdr:row>88</xdr:row>
      <xdr:rowOff>176760</xdr:rowOff>
    </xdr:to>
    <xdr:graphicFrame>
      <xdr:nvGraphicFramePr>
        <xdr:cNvPr id="1" name="Chart 2"/>
        <xdr:cNvGraphicFramePr/>
      </xdr:nvGraphicFramePr>
      <xdr:xfrm>
        <a:off x="0" y="123825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</row>
    <row r="7" customFormat="false" ht="15" hidden="false" customHeight="false" outlineLevel="0" collapsed="false">
      <c r="A7" s="6" t="s">
        <v>9</v>
      </c>
      <c r="B7" s="7" t="n">
        <v>12400</v>
      </c>
      <c r="C7" s="7" t="n">
        <v>9700</v>
      </c>
      <c r="D7" s="7" t="n">
        <v>0</v>
      </c>
      <c r="E7" s="7" t="n">
        <v>0</v>
      </c>
    </row>
    <row r="8" customFormat="false" ht="15" hidden="false" customHeight="false" outlineLevel="0" collapsed="false">
      <c r="A8" s="8" t="s">
        <v>10</v>
      </c>
      <c r="B8" s="9" t="n">
        <f aca="false">B7</f>
        <v>12400</v>
      </c>
      <c r="C8" s="9" t="n">
        <f aca="false">C7</f>
        <v>9700</v>
      </c>
      <c r="D8" s="9" t="n">
        <f aca="false">D7</f>
        <v>0</v>
      </c>
      <c r="E8" s="9" t="n">
        <f aca="false">E7</f>
        <v>0</v>
      </c>
      <c r="F8" s="3" t="s">
        <v>11</v>
      </c>
    </row>
    <row r="10" customFormat="false" ht="15" hidden="false" customHeight="false" outlineLevel="0" collapsed="false">
      <c r="A10" s="10" t="s">
        <v>12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6" t="s">
        <v>13</v>
      </c>
      <c r="B11" s="7" t="n">
        <v>18500</v>
      </c>
      <c r="C11" s="7" t="n">
        <v>24000</v>
      </c>
      <c r="D11" s="7" t="n">
        <v>19100</v>
      </c>
      <c r="E11" s="7" t="n">
        <v>11300</v>
      </c>
      <c r="F11" s="3" t="s">
        <v>14</v>
      </c>
    </row>
    <row r="12" customFormat="false" ht="15" hidden="false" customHeight="false" outlineLevel="0" collapsed="false">
      <c r="A12" s="6" t="s">
        <v>15</v>
      </c>
      <c r="B12" s="7" t="n">
        <v>14200</v>
      </c>
      <c r="C12" s="7" t="n">
        <v>13900</v>
      </c>
      <c r="D12" s="7" t="n">
        <v>12400</v>
      </c>
      <c r="E12" s="7" t="n">
        <v>9500</v>
      </c>
      <c r="F12" s="3" t="s">
        <v>16</v>
      </c>
    </row>
    <row r="13" customFormat="false" ht="15" hidden="false" customHeight="false" outlineLevel="0" collapsed="false">
      <c r="A13" s="8" t="s">
        <v>17</v>
      </c>
      <c r="B13" s="9" t="n">
        <f aca="false">SUM(B11:B12)</f>
        <v>32700</v>
      </c>
      <c r="C13" s="9" t="n">
        <f aca="false">SUM(C11:C12)</f>
        <v>37900</v>
      </c>
      <c r="D13" s="9" t="n">
        <f aca="false">SUM(D11:D12)</f>
        <v>31500</v>
      </c>
      <c r="E13" s="9" t="n">
        <f aca="false">SUM(E11:E12)</f>
        <v>20800</v>
      </c>
    </row>
    <row r="15" customFormat="false" ht="15" hidden="false" customHeight="false" outlineLevel="0" collapsed="false">
      <c r="A15" s="8" t="s">
        <v>18</v>
      </c>
      <c r="B15" s="9" t="n">
        <f aca="false">B8-B13</f>
        <v>-20300</v>
      </c>
      <c r="C15" s="9" t="n">
        <f aca="false">C8-C13</f>
        <v>-28200</v>
      </c>
      <c r="D15" s="9" t="n">
        <f aca="false">D8-D13</f>
        <v>-31500</v>
      </c>
      <c r="E15" s="9" t="n">
        <f aca="false">E8-E13</f>
        <v>-20800</v>
      </c>
    </row>
    <row r="17" customFormat="false" ht="15" hidden="false" customHeight="false" outlineLevel="0" collapsed="false">
      <c r="A17" s="5" t="s">
        <v>19</v>
      </c>
    </row>
    <row r="18" customFormat="false" ht="15" hidden="false" customHeight="false" outlineLevel="0" collapsed="false">
      <c r="A18" s="6" t="s">
        <v>20</v>
      </c>
      <c r="B18" s="7" t="n">
        <v>200</v>
      </c>
      <c r="C18" s="7" t="n">
        <v>350</v>
      </c>
      <c r="D18" s="7" t="n">
        <v>500</v>
      </c>
      <c r="E18" s="7" t="n">
        <v>800</v>
      </c>
    </row>
    <row r="19" customFormat="false" ht="15" hidden="false" customHeight="false" outlineLevel="0" collapsed="false">
      <c r="A19" s="6" t="s">
        <v>21</v>
      </c>
      <c r="B19" s="7" t="n">
        <v>-1200</v>
      </c>
      <c r="C19" s="7" t="n">
        <v>-800</v>
      </c>
      <c r="D19" s="7" t="n">
        <v>-500</v>
      </c>
      <c r="E19" s="7" t="n">
        <v>-300</v>
      </c>
    </row>
    <row r="20" customFormat="false" ht="15" hidden="false" customHeight="false" outlineLevel="0" collapsed="false">
      <c r="A20" s="6" t="s">
        <v>22</v>
      </c>
      <c r="B20" s="7" t="n">
        <v>-5000</v>
      </c>
      <c r="C20" s="7" t="n">
        <v>2500</v>
      </c>
      <c r="D20" s="7" t="n">
        <v>-1800</v>
      </c>
      <c r="E20" s="7" t="n">
        <v>-3200</v>
      </c>
    </row>
    <row r="21" customFormat="false" ht="15" hidden="false" customHeight="false" outlineLevel="0" collapsed="false">
      <c r="A21" s="6" t="s">
        <v>23</v>
      </c>
      <c r="B21" s="7" t="n">
        <v>100</v>
      </c>
      <c r="C21" s="7" t="n">
        <v>-200</v>
      </c>
      <c r="D21" s="7" t="n">
        <v>300</v>
      </c>
      <c r="E21" s="7" t="n">
        <v>-100</v>
      </c>
    </row>
    <row r="22" customFormat="false" ht="15" hidden="false" customHeight="false" outlineLevel="0" collapsed="false">
      <c r="A22" s="8" t="s">
        <v>24</v>
      </c>
      <c r="B22" s="9" t="n">
        <f aca="false">SUM(B18:B21)</f>
        <v>-5900</v>
      </c>
      <c r="C22" s="9" t="n">
        <f aca="false">SUM(C18:C21)</f>
        <v>1850</v>
      </c>
      <c r="D22" s="9" t="n">
        <f aca="false">SUM(D18:D21)</f>
        <v>-1500</v>
      </c>
      <c r="E22" s="9" t="n">
        <f aca="false">SUM(E18:E21)</f>
        <v>-2800</v>
      </c>
    </row>
    <row r="24" customFormat="false" ht="15" hidden="false" customHeight="false" outlineLevel="0" collapsed="false">
      <c r="A24" s="6" t="s">
        <v>25</v>
      </c>
      <c r="B24" s="7" t="n">
        <v>0</v>
      </c>
      <c r="C24" s="7" t="n">
        <v>0</v>
      </c>
      <c r="D24" s="7" t="n">
        <v>0</v>
      </c>
      <c r="E24" s="7" t="n">
        <v>0</v>
      </c>
    </row>
    <row r="26" customFormat="false" ht="15" hidden="false" customHeight="false" outlineLevel="0" collapsed="false">
      <c r="A26" s="11" t="s">
        <v>26</v>
      </c>
      <c r="B26" s="12" t="n">
        <f aca="false">B15+B22-B24</f>
        <v>-26200</v>
      </c>
      <c r="C26" s="12" t="n">
        <f aca="false">C15+C22-C24</f>
        <v>-26350</v>
      </c>
      <c r="D26" s="12" t="n">
        <f aca="false">D15+D22-D24</f>
        <v>-33000</v>
      </c>
      <c r="E26" s="12" t="n">
        <f aca="false">E15+E22-E24</f>
        <v>-23600</v>
      </c>
    </row>
    <row r="28" customFormat="false" ht="15" hidden="false" customHeight="false" outlineLevel="0" collapsed="false">
      <c r="A28" s="6" t="s">
        <v>27</v>
      </c>
      <c r="B28" s="13" t="n">
        <v>45</v>
      </c>
      <c r="C28" s="13" t="n">
        <v>35</v>
      </c>
      <c r="D28" s="13" t="n">
        <v>74</v>
      </c>
      <c r="E28" s="13" t="n">
        <v>108.4</v>
      </c>
      <c r="F28" s="3" t="s">
        <v>28</v>
      </c>
    </row>
    <row r="29" customFormat="false" ht="15" hidden="false" customHeight="false" outlineLevel="0" collapsed="false">
      <c r="A29" s="5" t="s">
        <v>29</v>
      </c>
      <c r="B29" s="14" t="n">
        <f aca="false">B26/(B28*1000)</f>
        <v>-0.582222222222222</v>
      </c>
      <c r="C29" s="14" t="n">
        <f aca="false">C26/(C28*1000)</f>
        <v>-0.752857142857143</v>
      </c>
      <c r="D29" s="14" t="n">
        <f aca="false">D26/(D28*1000)</f>
        <v>-0.445945945945946</v>
      </c>
      <c r="E29" s="14" t="n">
        <f aca="false">E26/(E28*1000)</f>
        <v>-0.217712177121771</v>
      </c>
    </row>
    <row r="31" customFormat="false" ht="15" hidden="false" customHeight="false" outlineLevel="0" collapsed="false">
      <c r="A31" s="10" t="s">
        <v>30</v>
      </c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6" t="s">
        <v>31</v>
      </c>
      <c r="B32" s="15" t="n">
        <f aca="false">B11/B13</f>
        <v>0.565749235474006</v>
      </c>
      <c r="C32" s="15" t="n">
        <f aca="false">C11/C13</f>
        <v>0.633245382585752</v>
      </c>
      <c r="D32" s="15" t="n">
        <f aca="false">D11/D13</f>
        <v>0.606349206349206</v>
      </c>
      <c r="E32" s="15" t="n">
        <f aca="false">E11/E13</f>
        <v>0.543269230769231</v>
      </c>
    </row>
    <row r="33" customFormat="false" ht="15" hidden="false" customHeight="false" outlineLevel="0" collapsed="false">
      <c r="A33" s="6" t="s">
        <v>32</v>
      </c>
      <c r="B33" s="16" t="n">
        <f aca="false">B13/4</f>
        <v>8175</v>
      </c>
      <c r="C33" s="16" t="n">
        <f aca="false">C13/4</f>
        <v>9475</v>
      </c>
      <c r="D33" s="16" t="n">
        <f aca="false">D13/4</f>
        <v>7875</v>
      </c>
      <c r="E33" s="16" t="n">
        <f aca="false">E13/3</f>
        <v>6933.33333333333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4"/>
      <c r="B4" s="4" t="s">
        <v>34</v>
      </c>
      <c r="C4" s="4" t="s">
        <v>35</v>
      </c>
      <c r="D4" s="4" t="s">
        <v>36</v>
      </c>
    </row>
    <row r="5" customFormat="false" ht="15" hidden="false" customHeight="false" outlineLevel="0" collapsed="false">
      <c r="A5" s="10" t="s">
        <v>37</v>
      </c>
      <c r="B5" s="10"/>
      <c r="C5" s="10"/>
      <c r="D5" s="10"/>
    </row>
    <row r="6" customFormat="false" ht="15" hidden="false" customHeight="false" outlineLevel="0" collapsed="false">
      <c r="A6" s="6" t="s">
        <v>38</v>
      </c>
      <c r="B6" s="7" t="n">
        <v>18500</v>
      </c>
      <c r="C6" s="7" t="n">
        <v>13900</v>
      </c>
      <c r="D6" s="7" t="n">
        <v>44300</v>
      </c>
      <c r="E6" s="3" t="s">
        <v>39</v>
      </c>
    </row>
    <row r="7" customFormat="false" ht="15" hidden="false" customHeight="false" outlineLevel="0" collapsed="false">
      <c r="A7" s="6" t="s">
        <v>40</v>
      </c>
      <c r="B7" s="7" t="n">
        <v>3200</v>
      </c>
      <c r="C7" s="7" t="n">
        <v>2800</v>
      </c>
      <c r="D7" s="7" t="n">
        <v>3500</v>
      </c>
    </row>
    <row r="8" customFormat="false" ht="15" hidden="false" customHeight="false" outlineLevel="0" collapsed="false">
      <c r="A8" s="6" t="s">
        <v>41</v>
      </c>
      <c r="B8" s="7" t="n">
        <v>1500</v>
      </c>
      <c r="C8" s="7" t="n">
        <v>1200</v>
      </c>
      <c r="D8" s="7" t="n">
        <v>800</v>
      </c>
    </row>
    <row r="9" customFormat="false" ht="15" hidden="false" customHeight="false" outlineLevel="0" collapsed="false">
      <c r="A9" s="8" t="s">
        <v>42</v>
      </c>
      <c r="B9" s="9" t="n">
        <f aca="false">SUM(B6:B8)</f>
        <v>23200</v>
      </c>
      <c r="C9" s="9" t="n">
        <f aca="false">SUM(C6:C8)</f>
        <v>17900</v>
      </c>
      <c r="D9" s="9" t="n">
        <f aca="false">SUM(D6:D8)</f>
        <v>48600</v>
      </c>
    </row>
    <row r="10" customFormat="false" ht="15" hidden="false" customHeight="false" outlineLevel="0" collapsed="false">
      <c r="A10" s="5" t="s">
        <v>43</v>
      </c>
    </row>
    <row r="11" customFormat="false" ht="15" hidden="false" customHeight="false" outlineLevel="0" collapsed="false">
      <c r="A11" s="6" t="s">
        <v>44</v>
      </c>
      <c r="B11" s="7" t="n">
        <v>2500</v>
      </c>
      <c r="C11" s="7" t="n">
        <v>1800</v>
      </c>
      <c r="D11" s="7" t="n">
        <v>1500</v>
      </c>
    </row>
    <row r="12" customFormat="false" ht="15" hidden="false" customHeight="false" outlineLevel="0" collapsed="false">
      <c r="A12" s="6" t="s">
        <v>45</v>
      </c>
      <c r="B12" s="7" t="n">
        <v>3500</v>
      </c>
      <c r="C12" s="7" t="n">
        <v>3200</v>
      </c>
      <c r="D12" s="7" t="n">
        <v>3000</v>
      </c>
    </row>
    <row r="13" customFormat="false" ht="15" hidden="false" customHeight="false" outlineLevel="0" collapsed="false">
      <c r="A13" s="6" t="s">
        <v>46</v>
      </c>
      <c r="B13" s="7" t="n">
        <v>800</v>
      </c>
      <c r="C13" s="7" t="n">
        <v>500</v>
      </c>
      <c r="D13" s="7" t="n">
        <v>400</v>
      </c>
    </row>
    <row r="14" customFormat="false" ht="15" hidden="false" customHeight="false" outlineLevel="0" collapsed="false">
      <c r="A14" s="8" t="s">
        <v>47</v>
      </c>
      <c r="B14" s="9" t="n">
        <f aca="false">SUM(B11:B13)</f>
        <v>6800</v>
      </c>
      <c r="C14" s="9" t="n">
        <f aca="false">SUM(C11:C13)</f>
        <v>5500</v>
      </c>
      <c r="D14" s="9" t="n">
        <f aca="false">SUM(D11:D13)</f>
        <v>4900</v>
      </c>
    </row>
    <row r="16" customFormat="false" ht="15" hidden="false" customHeight="false" outlineLevel="0" collapsed="false">
      <c r="A16" s="11" t="s">
        <v>48</v>
      </c>
      <c r="B16" s="12" t="n">
        <f aca="false">B9+B14</f>
        <v>30000</v>
      </c>
      <c r="C16" s="12" t="n">
        <f aca="false">C9+C14</f>
        <v>23400</v>
      </c>
      <c r="D16" s="12" t="n">
        <f aca="false">D9+D14</f>
        <v>53500</v>
      </c>
    </row>
    <row r="18" customFormat="false" ht="15" hidden="false" customHeight="false" outlineLevel="0" collapsed="false">
      <c r="A18" s="10" t="s">
        <v>49</v>
      </c>
      <c r="B18" s="10"/>
      <c r="C18" s="10"/>
      <c r="D18" s="10"/>
    </row>
    <row r="19" customFormat="false" ht="15" hidden="false" customHeight="false" outlineLevel="0" collapsed="false">
      <c r="A19" s="6" t="s">
        <v>50</v>
      </c>
      <c r="B19" s="7" t="n">
        <v>8500</v>
      </c>
      <c r="C19" s="7" t="n">
        <v>6200</v>
      </c>
      <c r="D19" s="7" t="n">
        <v>7800</v>
      </c>
    </row>
    <row r="20" customFormat="false" ht="15" hidden="false" customHeight="false" outlineLevel="0" collapsed="false">
      <c r="A20" s="6" t="s">
        <v>51</v>
      </c>
      <c r="B20" s="7" t="n">
        <v>4500</v>
      </c>
      <c r="C20" s="7" t="n">
        <v>3800</v>
      </c>
      <c r="D20" s="7" t="n">
        <v>4200</v>
      </c>
    </row>
    <row r="21" customFormat="false" ht="15" hidden="false" customHeight="false" outlineLevel="0" collapsed="false">
      <c r="A21" s="6" t="s">
        <v>52</v>
      </c>
      <c r="B21" s="7" t="n">
        <v>800</v>
      </c>
      <c r="C21" s="7" t="n">
        <v>700</v>
      </c>
      <c r="D21" s="7" t="n">
        <v>600</v>
      </c>
    </row>
    <row r="22" customFormat="false" ht="15" hidden="false" customHeight="false" outlineLevel="0" collapsed="false">
      <c r="A22" s="6" t="s">
        <v>53</v>
      </c>
      <c r="B22" s="7" t="n">
        <v>3200</v>
      </c>
      <c r="C22" s="7" t="n">
        <v>5000</v>
      </c>
      <c r="D22" s="7" t="n">
        <v>8200</v>
      </c>
    </row>
    <row r="23" customFormat="false" ht="15" hidden="false" customHeight="false" outlineLevel="0" collapsed="false">
      <c r="A23" s="6" t="s">
        <v>54</v>
      </c>
      <c r="B23" s="7" t="n">
        <v>1200</v>
      </c>
      <c r="C23" s="7" t="n">
        <v>800</v>
      </c>
      <c r="D23" s="7" t="n">
        <v>600</v>
      </c>
    </row>
    <row r="24" customFormat="false" ht="15" hidden="false" customHeight="false" outlineLevel="0" collapsed="false">
      <c r="A24" s="8" t="s">
        <v>55</v>
      </c>
      <c r="B24" s="9" t="n">
        <f aca="false">SUM(B19:B23)</f>
        <v>18200</v>
      </c>
      <c r="C24" s="9" t="n">
        <f aca="false">SUM(C19:C23)</f>
        <v>16500</v>
      </c>
      <c r="D24" s="9" t="n">
        <f aca="false">SUM(D19:D23)</f>
        <v>21400</v>
      </c>
    </row>
    <row r="25" customFormat="false" ht="15" hidden="false" customHeight="false" outlineLevel="0" collapsed="false">
      <c r="A25" s="6" t="s">
        <v>56</v>
      </c>
      <c r="B25" s="7" t="n">
        <v>1800</v>
      </c>
      <c r="C25" s="7" t="n">
        <v>1200</v>
      </c>
      <c r="D25" s="7" t="n">
        <v>1000</v>
      </c>
    </row>
    <row r="26" customFormat="false" ht="15" hidden="false" customHeight="false" outlineLevel="0" collapsed="false">
      <c r="A26" s="6" t="s">
        <v>57</v>
      </c>
      <c r="B26" s="7" t="n">
        <v>500</v>
      </c>
      <c r="C26" s="7" t="n">
        <v>300</v>
      </c>
      <c r="D26" s="7" t="n">
        <v>200</v>
      </c>
    </row>
    <row r="27" customFormat="false" ht="15" hidden="false" customHeight="false" outlineLevel="0" collapsed="false">
      <c r="A27" s="8" t="s">
        <v>58</v>
      </c>
      <c r="B27" s="9" t="n">
        <f aca="false">SUM(B25:B26)</f>
        <v>2300</v>
      </c>
      <c r="C27" s="9" t="n">
        <f aca="false">SUM(C25:C26)</f>
        <v>1500</v>
      </c>
      <c r="D27" s="9" t="n">
        <f aca="false">SUM(D25:D26)</f>
        <v>1200</v>
      </c>
    </row>
    <row r="29" customFormat="false" ht="15" hidden="false" customHeight="false" outlineLevel="0" collapsed="false">
      <c r="A29" s="8" t="s">
        <v>59</v>
      </c>
      <c r="B29" s="9" t="n">
        <f aca="false">B24+B27</f>
        <v>20500</v>
      </c>
      <c r="C29" s="9" t="n">
        <f aca="false">C24+C27</f>
        <v>18000</v>
      </c>
      <c r="D29" s="9" t="n">
        <f aca="false">D24+D27</f>
        <v>22600</v>
      </c>
    </row>
    <row r="30" customFormat="false" ht="15" hidden="false" customHeight="false" outlineLevel="0" collapsed="false">
      <c r="A30" s="5" t="s">
        <v>60</v>
      </c>
    </row>
    <row r="31" customFormat="false" ht="15" hidden="false" customHeight="false" outlineLevel="0" collapsed="false">
      <c r="A31" s="6" t="s">
        <v>61</v>
      </c>
      <c r="B31" s="7" t="n">
        <v>285000</v>
      </c>
      <c r="C31" s="7" t="n">
        <v>340000</v>
      </c>
      <c r="D31" s="7" t="n">
        <v>410000</v>
      </c>
    </row>
    <row r="32" customFormat="false" ht="15" hidden="false" customHeight="false" outlineLevel="0" collapsed="false">
      <c r="A32" s="6" t="s">
        <v>62</v>
      </c>
      <c r="B32" s="7" t="n">
        <v>-265000</v>
      </c>
      <c r="C32" s="7" t="n">
        <v>-295900</v>
      </c>
      <c r="D32" s="7" t="n">
        <v>-326800</v>
      </c>
    </row>
    <row r="33" customFormat="false" ht="15" hidden="false" customHeight="false" outlineLevel="0" collapsed="false">
      <c r="A33" s="6" t="s">
        <v>63</v>
      </c>
      <c r="B33" s="7" t="n">
        <v>-500</v>
      </c>
      <c r="C33" s="7" t="n">
        <v>-300</v>
      </c>
      <c r="D33" s="7" t="n">
        <v>-200</v>
      </c>
    </row>
    <row r="34" customFormat="false" ht="15" hidden="false" customHeight="false" outlineLevel="0" collapsed="false">
      <c r="A34" s="8" t="s">
        <v>64</v>
      </c>
      <c r="B34" s="9" t="n">
        <f aca="false">SUM(B31:B33)</f>
        <v>19500</v>
      </c>
      <c r="C34" s="9" t="n">
        <f aca="false">SUM(C31:C33)</f>
        <v>43800</v>
      </c>
      <c r="D34" s="9" t="n">
        <f aca="false">SUM(D31:D33)</f>
        <v>83000</v>
      </c>
    </row>
    <row r="36" customFormat="false" ht="15" hidden="false" customHeight="false" outlineLevel="0" collapsed="false">
      <c r="A36" s="11" t="s">
        <v>65</v>
      </c>
      <c r="B36" s="12" t="n">
        <f aca="false">B29+B34</f>
        <v>40000</v>
      </c>
      <c r="C36" s="12" t="n">
        <f aca="false">C29+C34</f>
        <v>61800</v>
      </c>
      <c r="D36" s="12" t="n">
        <f aca="false">D29+D34</f>
        <v>105600</v>
      </c>
    </row>
    <row r="38" customFormat="false" ht="15" hidden="false" customHeight="false" outlineLevel="0" collapsed="false">
      <c r="A38" s="17" t="s">
        <v>66</v>
      </c>
      <c r="B38" s="18" t="n">
        <f aca="false">B16-B36</f>
        <v>-10000</v>
      </c>
      <c r="C38" s="18" t="n">
        <f aca="false">C16-C36</f>
        <v>-38400</v>
      </c>
      <c r="D38" s="18" t="n">
        <f aca="false">D16-D36</f>
        <v>-52100</v>
      </c>
    </row>
    <row r="40" customFormat="false" ht="15" hidden="false" customHeight="false" outlineLevel="0" collapsed="false">
      <c r="A40" s="10" t="s">
        <v>67</v>
      </c>
      <c r="B40" s="10"/>
      <c r="C40" s="10"/>
      <c r="D40" s="10"/>
    </row>
    <row r="41" customFormat="false" ht="15" hidden="false" customHeight="false" outlineLevel="0" collapsed="false">
      <c r="A41" s="6" t="s">
        <v>68</v>
      </c>
      <c r="B41" s="19" t="n">
        <f aca="false">B9/B24</f>
        <v>1.27472527472527</v>
      </c>
      <c r="C41" s="19" t="n">
        <f aca="false">C9/C24</f>
        <v>1.08484848484849</v>
      </c>
      <c r="D41" s="19" t="n">
        <f aca="false">D9/D24</f>
        <v>2.27102803738318</v>
      </c>
    </row>
    <row r="42" customFormat="false" ht="15" hidden="false" customHeight="false" outlineLevel="0" collapsed="false">
      <c r="A42" s="6" t="s">
        <v>69</v>
      </c>
      <c r="B42" s="15" t="n">
        <f aca="false">B6/B16</f>
        <v>0.616666666666667</v>
      </c>
      <c r="C42" s="15" t="n">
        <f aca="false">C6/C16</f>
        <v>0.594017094017094</v>
      </c>
      <c r="D42" s="15" t="n">
        <f aca="false">D6/D16</f>
        <v>0.82803738317757</v>
      </c>
    </row>
    <row r="43" customFormat="false" ht="15" hidden="false" customHeight="false" outlineLevel="0" collapsed="false">
      <c r="A43" s="6" t="s">
        <v>70</v>
      </c>
      <c r="B43" s="20" t="n">
        <f aca="false">B6/('Income Statement'!B13/4)</f>
        <v>2.26299694189602</v>
      </c>
      <c r="C43" s="20" t="n">
        <f aca="false">C6/('Income Statement'!D13/4)</f>
        <v>1.76507936507937</v>
      </c>
      <c r="D43" s="20" t="n">
        <f aca="false">D6/('Income Statement'!E13/3)</f>
        <v>6.38942307692308</v>
      </c>
      <c r="E43" s="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4"/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10" t="s">
        <v>73</v>
      </c>
      <c r="B5" s="10"/>
      <c r="C5" s="10"/>
      <c r="D5" s="10"/>
    </row>
    <row r="6" customFormat="false" ht="15" hidden="false" customHeight="false" outlineLevel="0" collapsed="false">
      <c r="A6" s="6" t="s">
        <v>74</v>
      </c>
      <c r="B6" s="21" t="n">
        <f aca="false">'Income Statement'!B26</f>
        <v>-26200</v>
      </c>
      <c r="C6" s="21" t="n">
        <f aca="false">'Income Statement'!C26</f>
        <v>-26350</v>
      </c>
      <c r="D6" s="21" t="n">
        <f aca="false">'Income Statement'!D26</f>
        <v>-33000</v>
      </c>
    </row>
    <row r="7" customFormat="false" ht="15" hidden="false" customHeight="false" outlineLevel="0" collapsed="false">
      <c r="A7" s="5" t="s">
        <v>75</v>
      </c>
    </row>
    <row r="8" customFormat="false" ht="15" hidden="false" customHeight="false" outlineLevel="0" collapsed="false">
      <c r="A8" s="6" t="s">
        <v>76</v>
      </c>
      <c r="B8" s="7" t="n">
        <v>4500</v>
      </c>
      <c r="C8" s="7" t="n">
        <v>3800</v>
      </c>
      <c r="D8" s="7" t="n">
        <v>3200</v>
      </c>
    </row>
    <row r="9" customFormat="false" ht="15" hidden="false" customHeight="false" outlineLevel="0" collapsed="false">
      <c r="A9" s="6" t="s">
        <v>77</v>
      </c>
      <c r="B9" s="7" t="n">
        <v>5000</v>
      </c>
      <c r="C9" s="7" t="n">
        <v>-2500</v>
      </c>
      <c r="D9" s="7" t="n">
        <v>1800</v>
      </c>
    </row>
    <row r="10" customFormat="false" ht="15" hidden="false" customHeight="false" outlineLevel="0" collapsed="false">
      <c r="A10" s="6" t="s">
        <v>78</v>
      </c>
      <c r="B10" s="7" t="n">
        <v>800</v>
      </c>
      <c r="C10" s="7" t="n">
        <v>900</v>
      </c>
      <c r="D10" s="7" t="n">
        <v>750</v>
      </c>
    </row>
    <row r="11" customFormat="false" ht="15" hidden="false" customHeight="false" outlineLevel="0" collapsed="false">
      <c r="A11" s="6" t="s">
        <v>79</v>
      </c>
      <c r="B11" s="7" t="n">
        <v>600</v>
      </c>
      <c r="C11" s="7" t="n">
        <v>500</v>
      </c>
      <c r="D11" s="7" t="n">
        <v>400</v>
      </c>
    </row>
    <row r="12" customFormat="false" ht="15" hidden="false" customHeight="false" outlineLevel="0" collapsed="false">
      <c r="A12" s="5" t="s">
        <v>80</v>
      </c>
    </row>
    <row r="13" customFormat="false" ht="15" hidden="false" customHeight="false" outlineLevel="0" collapsed="false">
      <c r="A13" s="6" t="s">
        <v>81</v>
      </c>
      <c r="B13" s="7" t="n">
        <v>-1200</v>
      </c>
      <c r="C13" s="7" t="n">
        <v>800</v>
      </c>
      <c r="D13" s="7" t="n">
        <v>700</v>
      </c>
    </row>
    <row r="14" customFormat="false" ht="15" hidden="false" customHeight="false" outlineLevel="0" collapsed="false">
      <c r="A14" s="6" t="s">
        <v>82</v>
      </c>
      <c r="B14" s="7" t="n">
        <v>3500</v>
      </c>
      <c r="C14" s="7" t="n">
        <v>-2800</v>
      </c>
      <c r="D14" s="7" t="n">
        <v>-2300</v>
      </c>
    </row>
    <row r="15" customFormat="false" ht="15" hidden="false" customHeight="false" outlineLevel="0" collapsed="false">
      <c r="A15" s="6" t="s">
        <v>83</v>
      </c>
      <c r="B15" s="7" t="n">
        <v>2000</v>
      </c>
      <c r="C15" s="7" t="n">
        <v>1500</v>
      </c>
      <c r="D15" s="7" t="n">
        <v>-700</v>
      </c>
    </row>
    <row r="16" customFormat="false" ht="15" hidden="false" customHeight="false" outlineLevel="0" collapsed="false">
      <c r="A16" s="6" t="s">
        <v>84</v>
      </c>
      <c r="B16" s="7" t="n">
        <v>-500</v>
      </c>
      <c r="C16" s="7" t="n">
        <v>-300</v>
      </c>
      <c r="D16" s="7" t="n">
        <v>-200</v>
      </c>
    </row>
    <row r="17" customFormat="false" ht="15" hidden="false" customHeight="false" outlineLevel="0" collapsed="false">
      <c r="A17" s="8" t="s">
        <v>85</v>
      </c>
      <c r="B17" s="9" t="n">
        <f aca="false">SUM(B6,B8:B11,B13:B16)</f>
        <v>-11500</v>
      </c>
      <c r="C17" s="9" t="n">
        <f aca="false">SUM(C6,C8:C11,C13:C16)</f>
        <v>-24450</v>
      </c>
      <c r="D17" s="9" t="n">
        <f aca="false">SUM(D6,D8:D11,D13:D16)</f>
        <v>-29350</v>
      </c>
    </row>
    <row r="19" customFormat="false" ht="15" hidden="false" customHeight="false" outlineLevel="0" collapsed="false">
      <c r="A19" s="10" t="s">
        <v>86</v>
      </c>
      <c r="B19" s="10"/>
      <c r="C19" s="10"/>
      <c r="D19" s="10"/>
    </row>
    <row r="20" customFormat="false" ht="15" hidden="false" customHeight="false" outlineLevel="0" collapsed="false">
      <c r="A20" s="6" t="s">
        <v>87</v>
      </c>
      <c r="B20" s="7" t="n">
        <v>-100</v>
      </c>
      <c r="C20" s="7" t="n">
        <v>-50</v>
      </c>
      <c r="D20" s="7" t="n">
        <v>-30</v>
      </c>
    </row>
    <row r="21" customFormat="false" ht="15" hidden="false" customHeight="false" outlineLevel="0" collapsed="false">
      <c r="A21" s="6" t="s">
        <v>88</v>
      </c>
      <c r="B21" s="7" t="n">
        <v>0</v>
      </c>
      <c r="C21" s="7" t="n">
        <v>0</v>
      </c>
      <c r="D21" s="7" t="n">
        <v>0</v>
      </c>
    </row>
    <row r="22" customFormat="false" ht="15" hidden="false" customHeight="false" outlineLevel="0" collapsed="false">
      <c r="A22" s="8" t="s">
        <v>89</v>
      </c>
      <c r="B22" s="9" t="n">
        <f aca="false">SUM(B20:B21)</f>
        <v>-100</v>
      </c>
      <c r="C22" s="9" t="n">
        <f aca="false">SUM(C20:C21)</f>
        <v>-50</v>
      </c>
      <c r="D22" s="9" t="n">
        <f aca="false">SUM(D20:D21)</f>
        <v>-30</v>
      </c>
    </row>
    <row r="24" customFormat="false" ht="15" hidden="false" customHeight="false" outlineLevel="0" collapsed="false">
      <c r="A24" s="10" t="s">
        <v>90</v>
      </c>
      <c r="B24" s="10"/>
      <c r="C24" s="10"/>
      <c r="D24" s="10"/>
    </row>
    <row r="25" customFormat="false" ht="15" hidden="false" customHeight="false" outlineLevel="0" collapsed="false">
      <c r="A25" s="6" t="s">
        <v>91</v>
      </c>
      <c r="B25" s="7" t="n">
        <v>15000</v>
      </c>
      <c r="C25" s="7" t="n">
        <v>8000</v>
      </c>
      <c r="D25" s="7" t="n">
        <v>25000</v>
      </c>
    </row>
    <row r="26" customFormat="false" ht="15" hidden="false" customHeight="false" outlineLevel="0" collapsed="false">
      <c r="A26" s="6" t="s">
        <v>92</v>
      </c>
      <c r="B26" s="7" t="n">
        <v>0</v>
      </c>
      <c r="C26" s="7" t="n">
        <v>2000</v>
      </c>
      <c r="D26" s="7" t="n">
        <v>5000</v>
      </c>
      <c r="E26" s="3" t="s">
        <v>93</v>
      </c>
    </row>
    <row r="27" customFormat="false" ht="15" hidden="false" customHeight="false" outlineLevel="0" collapsed="false">
      <c r="A27" s="6" t="s">
        <v>94</v>
      </c>
      <c r="B27" s="7" t="n">
        <v>-1500</v>
      </c>
      <c r="C27" s="7" t="n">
        <v>-800</v>
      </c>
      <c r="D27" s="7" t="n">
        <v>-2500</v>
      </c>
    </row>
    <row r="28" customFormat="false" ht="15" hidden="false" customHeight="false" outlineLevel="0" collapsed="false">
      <c r="A28" s="6" t="s">
        <v>95</v>
      </c>
      <c r="B28" s="7" t="n">
        <v>-300</v>
      </c>
      <c r="C28" s="7" t="n">
        <v>-200</v>
      </c>
      <c r="D28" s="7" t="n">
        <v>-100</v>
      </c>
    </row>
    <row r="29" customFormat="false" ht="15" hidden="false" customHeight="false" outlineLevel="0" collapsed="false">
      <c r="A29" s="8" t="s">
        <v>96</v>
      </c>
      <c r="B29" s="9" t="n">
        <f aca="false">SUM(B25:B28)</f>
        <v>13200</v>
      </c>
      <c r="C29" s="9" t="n">
        <f aca="false">SUM(C25:C28)</f>
        <v>9000</v>
      </c>
      <c r="D29" s="9" t="n">
        <f aca="false">SUM(D25:D28)</f>
        <v>27400</v>
      </c>
    </row>
    <row r="31" customFormat="false" ht="15" hidden="false" customHeight="false" outlineLevel="0" collapsed="false">
      <c r="A31" s="11" t="s">
        <v>97</v>
      </c>
      <c r="B31" s="12" t="n">
        <f aca="false">B17+B22+B29</f>
        <v>1600</v>
      </c>
      <c r="C31" s="12" t="n">
        <f aca="false">C17+C22+C29</f>
        <v>-15500</v>
      </c>
      <c r="D31" s="12" t="n">
        <f aca="false">D17+D22+D29</f>
        <v>-1980</v>
      </c>
    </row>
    <row r="33" customFormat="false" ht="15" hidden="false" customHeight="false" outlineLevel="0" collapsed="false">
      <c r="A33" s="6" t="s">
        <v>98</v>
      </c>
      <c r="B33" s="7" t="n">
        <v>22000</v>
      </c>
      <c r="C33" s="7" t="n">
        <v>18500</v>
      </c>
      <c r="D33" s="7" t="n">
        <v>13900</v>
      </c>
    </row>
    <row r="34" customFormat="false" ht="15" hidden="false" customHeight="false" outlineLevel="0" collapsed="false">
      <c r="A34" s="22" t="s">
        <v>99</v>
      </c>
      <c r="B34" s="23" t="n">
        <f aca="false">B33+B31</f>
        <v>23600</v>
      </c>
      <c r="C34" s="23" t="n">
        <f aca="false">C33+C31</f>
        <v>3000</v>
      </c>
      <c r="D34" s="23" t="n">
        <f aca="false">D33+D31</f>
        <v>11920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false" outlineLevel="0" collapsed="false">
      <c r="A4" s="10" t="s">
        <v>102</v>
      </c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6" t="s">
        <v>103</v>
      </c>
      <c r="B5" s="24" t="n">
        <v>0.45</v>
      </c>
      <c r="C5" s="3" t="s">
        <v>104</v>
      </c>
    </row>
    <row r="6" customFormat="false" ht="15" hidden="false" customHeight="false" outlineLevel="0" collapsed="false">
      <c r="A6" s="6" t="s">
        <v>105</v>
      </c>
      <c r="B6" s="25" t="n">
        <v>2033</v>
      </c>
      <c r="C6" s="3" t="s">
        <v>106</v>
      </c>
    </row>
    <row r="7" customFormat="false" ht="15" hidden="false" customHeight="false" outlineLevel="0" collapsed="false">
      <c r="A7" s="6" t="s">
        <v>107</v>
      </c>
      <c r="B7" s="26" t="n">
        <v>800</v>
      </c>
      <c r="C7" s="3" t="s">
        <v>108</v>
      </c>
    </row>
    <row r="8" customFormat="false" ht="15" hidden="false" customHeight="false" outlineLevel="0" collapsed="false">
      <c r="A8" s="6" t="s">
        <v>109</v>
      </c>
      <c r="B8" s="26" t="n">
        <v>450</v>
      </c>
      <c r="C8" s="3" t="s">
        <v>110</v>
      </c>
    </row>
    <row r="9" customFormat="false" ht="15" hidden="false" customHeight="false" outlineLevel="0" collapsed="false">
      <c r="A9" s="6" t="s">
        <v>111</v>
      </c>
      <c r="B9" s="26" t="n">
        <v>0</v>
      </c>
      <c r="C9" s="3" t="s">
        <v>112</v>
      </c>
    </row>
    <row r="10" customFormat="false" ht="15" hidden="false" customHeight="false" outlineLevel="0" collapsed="false">
      <c r="A10" s="6" t="s">
        <v>113</v>
      </c>
      <c r="B10" s="24" t="n">
        <v>0.2</v>
      </c>
      <c r="C10" s="3" t="s">
        <v>114</v>
      </c>
    </row>
    <row r="11" customFormat="false" ht="15" hidden="false" customHeight="false" outlineLevel="0" collapsed="false">
      <c r="A11" s="6" t="s">
        <v>115</v>
      </c>
      <c r="B11" s="26" t="n">
        <v>300</v>
      </c>
      <c r="C11" s="3" t="s">
        <v>116</v>
      </c>
    </row>
    <row r="12" customFormat="false" ht="15" hidden="false" customHeight="false" outlineLevel="0" collapsed="false">
      <c r="A12" s="6" t="s">
        <v>117</v>
      </c>
      <c r="B12" s="24" t="n">
        <v>0.08</v>
      </c>
      <c r="C12" s="3" t="s">
        <v>118</v>
      </c>
    </row>
    <row r="13" customFormat="false" ht="15" hidden="false" customHeight="false" outlineLevel="0" collapsed="false">
      <c r="A13" s="6" t="s">
        <v>119</v>
      </c>
      <c r="B13" s="24" t="n">
        <v>0.12</v>
      </c>
      <c r="C13" s="3" t="s">
        <v>120</v>
      </c>
    </row>
    <row r="14" customFormat="false" ht="15" hidden="false" customHeight="false" outlineLevel="0" collapsed="false">
      <c r="A14" s="6" t="s">
        <v>121</v>
      </c>
      <c r="B14" s="24" t="n">
        <v>0</v>
      </c>
      <c r="C14" s="3" t="s">
        <v>122</v>
      </c>
    </row>
    <row r="15" customFormat="false" ht="15" hidden="false" customHeight="false" outlineLevel="0" collapsed="false">
      <c r="A15" s="6" t="s">
        <v>123</v>
      </c>
      <c r="B15" s="24" t="n">
        <v>0.21</v>
      </c>
      <c r="C15" s="3" t="s">
        <v>124</v>
      </c>
    </row>
    <row r="16" customFormat="false" ht="15" hidden="false" customHeight="false" outlineLevel="0" collapsed="false">
      <c r="A16" s="6" t="s">
        <v>125</v>
      </c>
      <c r="B16" s="13" t="n">
        <v>130</v>
      </c>
      <c r="C16" s="3" t="s">
        <v>126</v>
      </c>
    </row>
    <row r="17" customFormat="false" ht="15" hidden="false" customHeight="false" outlineLevel="0" collapsed="false">
      <c r="A17" s="6" t="s">
        <v>127</v>
      </c>
      <c r="B17" s="27" t="n">
        <v>4.76</v>
      </c>
      <c r="C17" s="3" t="s">
        <v>128</v>
      </c>
    </row>
    <row r="18" customFormat="false" ht="15" hidden="false" customHeight="false" outlineLevel="0" collapsed="false">
      <c r="A18" s="6" t="s">
        <v>129</v>
      </c>
      <c r="B18" s="28" t="n">
        <f aca="false">B17*B16</f>
        <v>618.8</v>
      </c>
      <c r="C18" s="3"/>
    </row>
    <row r="20" customFormat="false" ht="15" hidden="false" customHeight="false" outlineLevel="0" collapsed="false">
      <c r="A20" s="29" t="s">
        <v>130</v>
      </c>
      <c r="B20" s="30"/>
      <c r="C20" s="30"/>
      <c r="D20" s="30"/>
      <c r="E20" s="30"/>
      <c r="F20" s="30"/>
      <c r="G20" s="30"/>
      <c r="H20" s="30"/>
      <c r="I20" s="30"/>
    </row>
    <row r="21" customFormat="false" ht="15" hidden="false" customHeight="false" outlineLevel="0" collapsed="false">
      <c r="A21" s="5" t="s">
        <v>131</v>
      </c>
      <c r="B21" s="31" t="n">
        <v>0.25</v>
      </c>
    </row>
    <row r="22" customFormat="false" ht="15" hidden="false" customHeight="false" outlineLevel="0" collapsed="false">
      <c r="A22" s="4"/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4" t="s">
        <v>137</v>
      </c>
      <c r="H22" s="4" t="s">
        <v>138</v>
      </c>
      <c r="I22" s="4" t="s">
        <v>139</v>
      </c>
    </row>
    <row r="23" customFormat="false" ht="15" hidden="false" customHeight="false" outlineLevel="0" collapsed="false">
      <c r="A23" s="6" t="s">
        <v>140</v>
      </c>
      <c r="B23" s="7" t="n">
        <v>0</v>
      </c>
      <c r="C23" s="7" t="n">
        <v>0</v>
      </c>
      <c r="D23" s="7" t="n">
        <v>50</v>
      </c>
      <c r="E23" s="7" t="n">
        <v>180</v>
      </c>
      <c r="F23" s="7" t="n">
        <v>350</v>
      </c>
      <c r="G23" s="7" t="n">
        <v>550</v>
      </c>
      <c r="H23" s="7" t="n">
        <v>700</v>
      </c>
      <c r="I23" s="7" t="n">
        <v>800</v>
      </c>
    </row>
    <row r="24" customFormat="false" ht="15" hidden="false" customHeight="false" outlineLevel="0" collapsed="false">
      <c r="A24" s="6" t="s">
        <v>141</v>
      </c>
      <c r="B24" s="7" t="n">
        <v>0</v>
      </c>
      <c r="C24" s="7" t="n">
        <v>0</v>
      </c>
      <c r="D24" s="7" t="n">
        <v>0</v>
      </c>
      <c r="E24" s="7" t="n">
        <v>20</v>
      </c>
      <c r="F24" s="7" t="n">
        <v>60</v>
      </c>
      <c r="G24" s="7" t="n">
        <v>120</v>
      </c>
      <c r="H24" s="7" t="n">
        <v>200</v>
      </c>
      <c r="I24" s="7" t="n">
        <v>300</v>
      </c>
    </row>
    <row r="25" customFormat="false" ht="15" hidden="false" customHeight="false" outlineLevel="0" collapsed="false">
      <c r="A25" s="6" t="s">
        <v>142</v>
      </c>
      <c r="B25" s="7" t="n">
        <v>0</v>
      </c>
      <c r="C25" s="7" t="n">
        <v>0</v>
      </c>
      <c r="D25" s="7" t="n">
        <v>5</v>
      </c>
      <c r="E25" s="7" t="n">
        <v>15</v>
      </c>
      <c r="F25" s="7" t="n">
        <v>25</v>
      </c>
      <c r="G25" s="7" t="n">
        <v>35</v>
      </c>
      <c r="H25" s="7" t="n">
        <v>40</v>
      </c>
      <c r="I25" s="7" t="n">
        <v>45</v>
      </c>
    </row>
    <row r="26" customFormat="false" ht="15" hidden="false" customHeight="false" outlineLevel="0" collapsed="false">
      <c r="A26" s="8" t="s">
        <v>143</v>
      </c>
      <c r="B26" s="9" t="n">
        <f aca="false">B23+B24+B25</f>
        <v>0</v>
      </c>
      <c r="C26" s="9" t="n">
        <f aca="false">C23+C24+C25</f>
        <v>0</v>
      </c>
      <c r="D26" s="9" t="n">
        <f aca="false">D23+D24+D25</f>
        <v>55</v>
      </c>
      <c r="E26" s="9" t="n">
        <f aca="false">E23+E24+E25</f>
        <v>215</v>
      </c>
      <c r="F26" s="9" t="n">
        <f aca="false">F23+F24+F25</f>
        <v>435</v>
      </c>
      <c r="G26" s="9" t="n">
        <f aca="false">G23+G24+G25</f>
        <v>705</v>
      </c>
      <c r="H26" s="9" t="n">
        <f aca="false">H23+H24+H25</f>
        <v>940</v>
      </c>
      <c r="I26" s="9" t="n">
        <f aca="false">I23+I24+I25</f>
        <v>1145</v>
      </c>
    </row>
    <row r="27" customFormat="false" ht="15" hidden="false" customHeight="false" outlineLevel="0" collapsed="false">
      <c r="A27" s="6" t="s">
        <v>144</v>
      </c>
      <c r="B27" s="16" t="n">
        <f aca="false">-B26*0.25</f>
        <v>-0</v>
      </c>
      <c r="C27" s="16" t="n">
        <f aca="false">-C26*0.25</f>
        <v>-0</v>
      </c>
      <c r="D27" s="16" t="n">
        <f aca="false">-D26*0.25</f>
        <v>-13.75</v>
      </c>
      <c r="E27" s="16" t="n">
        <f aca="false">-E26*0.25</f>
        <v>-53.75</v>
      </c>
      <c r="F27" s="16" t="n">
        <f aca="false">-F26*0.25</f>
        <v>-108.75</v>
      </c>
      <c r="G27" s="16" t="n">
        <f aca="false">-G26*0.25</f>
        <v>-176.25</v>
      </c>
      <c r="H27" s="16" t="n">
        <f aca="false">-H26*0.25</f>
        <v>-235</v>
      </c>
      <c r="I27" s="16" t="n">
        <f aca="false">-I26*0.25</f>
        <v>-286.25</v>
      </c>
    </row>
    <row r="28" customFormat="false" ht="15" hidden="false" customHeight="false" outlineLevel="0" collapsed="false">
      <c r="A28" s="6" t="s">
        <v>145</v>
      </c>
      <c r="B28" s="7" t="n">
        <v>30</v>
      </c>
      <c r="C28" s="7" t="n">
        <v>25</v>
      </c>
      <c r="D28" s="7" t="n">
        <v>20</v>
      </c>
      <c r="E28" s="7" t="n">
        <v>18</v>
      </c>
      <c r="F28" s="7" t="n">
        <v>16</v>
      </c>
      <c r="G28" s="7" t="n">
        <v>15</v>
      </c>
      <c r="H28" s="7" t="n">
        <v>14</v>
      </c>
      <c r="I28" s="7" t="n">
        <v>13</v>
      </c>
    </row>
    <row r="29" customFormat="false" ht="15" hidden="false" customHeight="false" outlineLevel="0" collapsed="false">
      <c r="A29" s="6" t="s">
        <v>146</v>
      </c>
      <c r="B29" s="7" t="n">
        <v>12</v>
      </c>
      <c r="C29" s="7" t="n">
        <v>13</v>
      </c>
      <c r="D29" s="7" t="n">
        <v>15</v>
      </c>
      <c r="E29" s="7" t="n">
        <v>18</v>
      </c>
      <c r="F29" s="7" t="n">
        <v>20</v>
      </c>
      <c r="G29" s="7" t="n">
        <v>22</v>
      </c>
      <c r="H29" s="7" t="n">
        <v>24</v>
      </c>
      <c r="I29" s="7" t="n">
        <v>25</v>
      </c>
    </row>
    <row r="30" customFormat="false" ht="15" hidden="false" customHeight="false" outlineLevel="0" collapsed="false">
      <c r="A30" s="5" t="s">
        <v>147</v>
      </c>
      <c r="B30" s="32" t="n">
        <f aca="false">B26+B27+B28+B29</f>
        <v>42</v>
      </c>
      <c r="C30" s="32" t="n">
        <f aca="false">C26+C27+C28+C29</f>
        <v>38</v>
      </c>
      <c r="D30" s="32" t="n">
        <f aca="false">D26+D27+D28+D29</f>
        <v>76.25</v>
      </c>
      <c r="E30" s="32" t="n">
        <f aca="false">E26+E27+E28+E29</f>
        <v>197.25</v>
      </c>
      <c r="F30" s="32" t="n">
        <f aca="false">F26+F27+F28+F29</f>
        <v>362.25</v>
      </c>
      <c r="G30" s="32" t="n">
        <f aca="false">G26+G27+G28+G29</f>
        <v>565.75</v>
      </c>
      <c r="H30" s="32" t="n">
        <f aca="false">H26+H27+H28+H29</f>
        <v>743</v>
      </c>
      <c r="I30" s="32" t="n">
        <f aca="false">I26+I27+I28+I29</f>
        <v>896.75</v>
      </c>
    </row>
    <row r="31" customFormat="false" ht="15" hidden="false" customHeight="false" outlineLevel="0" collapsed="false">
      <c r="A31" s="6" t="s">
        <v>148</v>
      </c>
      <c r="B31" s="16" t="n">
        <f aca="false">-MAX(0,B30*$B$15)</f>
        <v>-8.82</v>
      </c>
      <c r="C31" s="16" t="n">
        <f aca="false">-MAX(0,C30*$B$15)</f>
        <v>-7.98</v>
      </c>
      <c r="D31" s="16" t="n">
        <f aca="false">-MAX(0,D30*$B$15)</f>
        <v>-16.0125</v>
      </c>
      <c r="E31" s="16" t="n">
        <f aca="false">-MAX(0,E30*$B$15)</f>
        <v>-41.4225</v>
      </c>
      <c r="F31" s="16" t="n">
        <f aca="false">-MAX(0,F30*$B$15)</f>
        <v>-76.0725</v>
      </c>
      <c r="G31" s="16" t="n">
        <f aca="false">-MAX(0,G30*$B$15)</f>
        <v>-118.8075</v>
      </c>
      <c r="H31" s="16" t="n">
        <f aca="false">-MAX(0,H30*$B$15)</f>
        <v>-156.03</v>
      </c>
      <c r="I31" s="16" t="n">
        <f aca="false">-MAX(0,I30*$B$15)</f>
        <v>-188.3175</v>
      </c>
    </row>
    <row r="32" customFormat="false" ht="15" hidden="false" customHeight="false" outlineLevel="0" collapsed="false">
      <c r="A32" s="5" t="s">
        <v>149</v>
      </c>
      <c r="B32" s="32" t="n">
        <f aca="false">B30+B31</f>
        <v>33.18</v>
      </c>
      <c r="C32" s="32" t="n">
        <f aca="false">C30+C31</f>
        <v>30.02</v>
      </c>
      <c r="D32" s="32" t="n">
        <f aca="false">D30+D31</f>
        <v>60.2375</v>
      </c>
      <c r="E32" s="32" t="n">
        <f aca="false">E30+E31</f>
        <v>155.8275</v>
      </c>
      <c r="F32" s="32" t="n">
        <f aca="false">F30+F31</f>
        <v>286.1775</v>
      </c>
      <c r="G32" s="32" t="n">
        <f aca="false">G30+G31</f>
        <v>446.9425</v>
      </c>
      <c r="H32" s="32" t="n">
        <f aca="false">H30+H31</f>
        <v>586.97</v>
      </c>
      <c r="I32" s="32" t="n">
        <f aca="false">I30+I31</f>
        <v>708.4325</v>
      </c>
    </row>
    <row r="33" customFormat="false" ht="15" hidden="false" customHeight="false" outlineLevel="0" collapsed="false">
      <c r="A33" s="6" t="s">
        <v>150</v>
      </c>
      <c r="B33" s="7" t="n">
        <v>1</v>
      </c>
      <c r="C33" s="7" t="n">
        <v>1</v>
      </c>
      <c r="D33" s="7" t="n">
        <v>2</v>
      </c>
      <c r="E33" s="7" t="n">
        <v>3</v>
      </c>
      <c r="F33" s="7" t="n">
        <v>4</v>
      </c>
      <c r="G33" s="7" t="n">
        <v>5</v>
      </c>
      <c r="H33" s="7" t="n">
        <v>5</v>
      </c>
      <c r="I33" s="7" t="n">
        <v>5</v>
      </c>
    </row>
    <row r="34" customFormat="false" ht="15" hidden="false" customHeight="false" outlineLevel="0" collapsed="false">
      <c r="A34" s="6" t="s">
        <v>151</v>
      </c>
      <c r="B34" s="7" t="n">
        <v>-2</v>
      </c>
      <c r="C34" s="7" t="n">
        <v>-3</v>
      </c>
      <c r="D34" s="7" t="n">
        <v>-5</v>
      </c>
      <c r="E34" s="7" t="n">
        <v>-8</v>
      </c>
      <c r="F34" s="7" t="n">
        <v>-10</v>
      </c>
      <c r="G34" s="7" t="n">
        <v>-10</v>
      </c>
      <c r="H34" s="7" t="n">
        <v>-8</v>
      </c>
      <c r="I34" s="7" t="n">
        <v>-8</v>
      </c>
    </row>
    <row r="35" customFormat="false" ht="15" hidden="false" customHeight="false" outlineLevel="0" collapsed="false">
      <c r="A35" s="6" t="s">
        <v>152</v>
      </c>
      <c r="B35" s="7" t="n">
        <v>-2</v>
      </c>
      <c r="C35" s="7" t="n">
        <v>-2</v>
      </c>
      <c r="D35" s="7" t="n">
        <v>-5</v>
      </c>
      <c r="E35" s="7" t="n">
        <v>-8</v>
      </c>
      <c r="F35" s="7" t="n">
        <v>-8</v>
      </c>
      <c r="G35" s="7" t="n">
        <v>-5</v>
      </c>
      <c r="H35" s="7" t="n">
        <v>-3</v>
      </c>
      <c r="I35" s="7" t="n">
        <v>-2</v>
      </c>
    </row>
    <row r="36" customFormat="false" ht="15" hidden="false" customHeight="false" outlineLevel="0" collapsed="false">
      <c r="A36" s="8" t="s">
        <v>153</v>
      </c>
      <c r="B36" s="9" t="n">
        <f aca="false">B32+B33+B34+B35</f>
        <v>30.18</v>
      </c>
      <c r="C36" s="9" t="n">
        <f aca="false">C32+C33+C34+C35</f>
        <v>26.02</v>
      </c>
      <c r="D36" s="9" t="n">
        <f aca="false">D32+D33+D34+D35</f>
        <v>52.2375</v>
      </c>
      <c r="E36" s="9" t="n">
        <f aca="false">E32+E33+E34+E35</f>
        <v>142.8275</v>
      </c>
      <c r="F36" s="9" t="n">
        <f aca="false">F32+F33+F34+F35</f>
        <v>272.1775</v>
      </c>
      <c r="G36" s="9" t="n">
        <f aca="false">G32+G33+G34+G35</f>
        <v>436.9425</v>
      </c>
      <c r="H36" s="9" t="n">
        <f aca="false">H32+H33+H34+H35</f>
        <v>580.97</v>
      </c>
      <c r="I36" s="9" t="n">
        <f aca="false">I32+I33+I34+I35</f>
        <v>703.4325</v>
      </c>
    </row>
    <row r="37" customFormat="false" ht="15" hidden="false" customHeight="false" outlineLevel="0" collapsed="false">
      <c r="A37" s="6" t="s">
        <v>154</v>
      </c>
      <c r="B37" s="33" t="n">
        <f aca="false">1/(1+$B$13)^1</f>
        <v>0.892857142857143</v>
      </c>
      <c r="C37" s="33" t="n">
        <f aca="false">1/(1+$B$13)^2</f>
        <v>0.79719387755102</v>
      </c>
      <c r="D37" s="33" t="n">
        <f aca="false">1/(1+$B$13)^3</f>
        <v>0.711780247813411</v>
      </c>
      <c r="E37" s="33" t="n">
        <f aca="false">1/(1+$B$13)^4</f>
        <v>0.635518078404831</v>
      </c>
      <c r="F37" s="33" t="n">
        <f aca="false">1/(1+$B$13)^5</f>
        <v>0.567426855718599</v>
      </c>
      <c r="G37" s="33" t="n">
        <f aca="false">1/(1+$B$13)^6</f>
        <v>0.506631121177321</v>
      </c>
      <c r="H37" s="33" t="n">
        <f aca="false">1/(1+$B$13)^7</f>
        <v>0.452349215336893</v>
      </c>
      <c r="I37" s="33" t="n">
        <f aca="false">1/(1+$B$13)^8</f>
        <v>0.403883227979369</v>
      </c>
    </row>
    <row r="38" customFormat="false" ht="15" hidden="false" customHeight="false" outlineLevel="0" collapsed="false">
      <c r="A38" s="5" t="s">
        <v>155</v>
      </c>
      <c r="B38" s="32" t="n">
        <f aca="false">B36*B37</f>
        <v>26.9464285714286</v>
      </c>
      <c r="C38" s="32" t="n">
        <f aca="false">C36*C37</f>
        <v>20.7429846938776</v>
      </c>
      <c r="D38" s="32" t="n">
        <f aca="false">D36*D37</f>
        <v>37.1816206951531</v>
      </c>
      <c r="E38" s="32" t="n">
        <f aca="false">E36*E37</f>
        <v>90.769458343366</v>
      </c>
      <c r="F38" s="32" t="n">
        <f aca="false">F36*F37</f>
        <v>154.440823022349</v>
      </c>
      <c r="G38" s="32" t="n">
        <f aca="false">G36*G37</f>
        <v>221.368668665021</v>
      </c>
      <c r="H38" s="32" t="n">
        <f aca="false">H36*H37</f>
        <v>262.801323634275</v>
      </c>
      <c r="I38" s="32" t="n">
        <f aca="false">I36*I37</f>
        <v>284.104588765598</v>
      </c>
    </row>
    <row r="40" customFormat="false" ht="15" hidden="false" customHeight="false" outlineLevel="0" collapsed="false">
      <c r="A40" s="5" t="s">
        <v>156</v>
      </c>
      <c r="B40" s="32" t="n">
        <f aca="false">SUM(B38:I38)</f>
        <v>1098.35589639107</v>
      </c>
      <c r="I40" s="3" t="s">
        <v>157</v>
      </c>
    </row>
    <row r="41" customFormat="false" ht="15" hidden="false" customHeight="false" outlineLevel="0" collapsed="false">
      <c r="A41" s="5" t="s">
        <v>158</v>
      </c>
      <c r="B41" s="32" t="n">
        <f aca="false">IF($B$14=0,I36/$B$13,I36*(1+$B$14)/($B$13-$B$14))/(1+$B$13)^8</f>
        <v>2367.53823971331</v>
      </c>
      <c r="I41" s="3" t="s">
        <v>159</v>
      </c>
    </row>
    <row r="42" customFormat="false" ht="15" hidden="false" customHeight="false" outlineLevel="0" collapsed="false">
      <c r="A42" s="11" t="s">
        <v>160</v>
      </c>
      <c r="B42" s="12" t="n">
        <f aca="false">B40+B41</f>
        <v>3465.89413610438</v>
      </c>
    </row>
    <row r="43" customFormat="false" ht="15" hidden="false" customHeight="false" outlineLevel="0" collapsed="false">
      <c r="A43" s="5" t="s">
        <v>161</v>
      </c>
      <c r="B43" s="14" t="n">
        <f aca="false">(B42*1000+13900)/(B16*1000)</f>
        <v>26.7676472008029</v>
      </c>
    </row>
    <row r="45" customFormat="false" ht="15" hidden="false" customHeight="false" outlineLevel="0" collapsed="false">
      <c r="A45" s="34" t="s">
        <v>162</v>
      </c>
      <c r="B45" s="35"/>
      <c r="C45" s="35"/>
      <c r="D45" s="35"/>
      <c r="E45" s="35"/>
      <c r="F45" s="35"/>
      <c r="G45" s="35"/>
      <c r="H45" s="35"/>
      <c r="I45" s="35"/>
    </row>
    <row r="46" customFormat="false" ht="15" hidden="false" customHeight="false" outlineLevel="0" collapsed="false">
      <c r="A46" s="5" t="s">
        <v>131</v>
      </c>
      <c r="B46" s="31" t="n">
        <v>0.45</v>
      </c>
    </row>
    <row r="47" customFormat="false" ht="15" hidden="false" customHeight="false" outlineLevel="0" collapsed="false">
      <c r="A47" s="4"/>
      <c r="B47" s="4" t="s">
        <v>132</v>
      </c>
      <c r="C47" s="4" t="s">
        <v>133</v>
      </c>
      <c r="D47" s="4" t="s">
        <v>134</v>
      </c>
      <c r="E47" s="4" t="s">
        <v>135</v>
      </c>
      <c r="F47" s="4" t="s">
        <v>136</v>
      </c>
      <c r="G47" s="4" t="s">
        <v>137</v>
      </c>
      <c r="H47" s="4" t="s">
        <v>138</v>
      </c>
      <c r="I47" s="4" t="s">
        <v>139</v>
      </c>
    </row>
    <row r="48" customFormat="false" ht="15" hidden="false" customHeight="false" outlineLevel="0" collapsed="false">
      <c r="A48" s="6" t="s">
        <v>140</v>
      </c>
      <c r="B48" s="7" t="n">
        <v>0</v>
      </c>
      <c r="C48" s="7" t="n">
        <v>0</v>
      </c>
      <c r="D48" s="7" t="n">
        <v>30</v>
      </c>
      <c r="E48" s="7" t="n">
        <v>100</v>
      </c>
      <c r="F48" s="7" t="n">
        <v>200</v>
      </c>
      <c r="G48" s="7" t="n">
        <v>320</v>
      </c>
      <c r="H48" s="7" t="n">
        <v>400</v>
      </c>
      <c r="I48" s="7" t="n">
        <v>450</v>
      </c>
    </row>
    <row r="49" customFormat="false" ht="15" hidden="false" customHeight="false" outlineLevel="0" collapsed="false">
      <c r="A49" s="6" t="s">
        <v>141</v>
      </c>
      <c r="B49" s="7" t="n">
        <v>0</v>
      </c>
      <c r="C49" s="7" t="n">
        <v>0</v>
      </c>
      <c r="D49" s="7" t="n">
        <v>0</v>
      </c>
      <c r="E49" s="7" t="n">
        <v>10</v>
      </c>
      <c r="F49" s="7" t="n">
        <v>30</v>
      </c>
      <c r="G49" s="7" t="n">
        <v>60</v>
      </c>
      <c r="H49" s="7" t="n">
        <v>100</v>
      </c>
      <c r="I49" s="7" t="n">
        <v>150</v>
      </c>
    </row>
    <row r="50" customFormat="false" ht="15" hidden="false" customHeight="false" outlineLevel="0" collapsed="false">
      <c r="A50" s="6" t="s">
        <v>142</v>
      </c>
      <c r="B50" s="7" t="n">
        <v>0</v>
      </c>
      <c r="C50" s="7" t="n">
        <v>0</v>
      </c>
      <c r="D50" s="7" t="n">
        <v>3</v>
      </c>
      <c r="E50" s="7" t="n">
        <v>8</v>
      </c>
      <c r="F50" s="7" t="n">
        <v>15</v>
      </c>
      <c r="G50" s="7" t="n">
        <v>20</v>
      </c>
      <c r="H50" s="7" t="n">
        <v>25</v>
      </c>
      <c r="I50" s="7" t="n">
        <v>30</v>
      </c>
    </row>
    <row r="51" customFormat="false" ht="15" hidden="false" customHeight="false" outlineLevel="0" collapsed="false">
      <c r="A51" s="8" t="s">
        <v>143</v>
      </c>
      <c r="B51" s="9" t="n">
        <f aca="false">B48+B49+B50</f>
        <v>0</v>
      </c>
      <c r="C51" s="9" t="n">
        <f aca="false">C48+C49+C50</f>
        <v>0</v>
      </c>
      <c r="D51" s="9" t="n">
        <f aca="false">D48+D49+D50</f>
        <v>33</v>
      </c>
      <c r="E51" s="9" t="n">
        <f aca="false">E48+E49+E50</f>
        <v>118</v>
      </c>
      <c r="F51" s="9" t="n">
        <f aca="false">F48+F49+F50</f>
        <v>245</v>
      </c>
      <c r="G51" s="9" t="n">
        <f aca="false">G48+G49+G50</f>
        <v>400</v>
      </c>
      <c r="H51" s="9" t="n">
        <f aca="false">H48+H49+H50</f>
        <v>525</v>
      </c>
      <c r="I51" s="9" t="n">
        <f aca="false">I48+I49+I50</f>
        <v>630</v>
      </c>
    </row>
    <row r="52" customFormat="false" ht="15" hidden="false" customHeight="false" outlineLevel="0" collapsed="false">
      <c r="A52" s="6" t="s">
        <v>144</v>
      </c>
      <c r="B52" s="16" t="n">
        <f aca="false">-B51*0.25</f>
        <v>-0</v>
      </c>
      <c r="C52" s="16" t="n">
        <f aca="false">-C51*0.25</f>
        <v>-0</v>
      </c>
      <c r="D52" s="16" t="n">
        <f aca="false">-D51*0.25</f>
        <v>-8.25</v>
      </c>
      <c r="E52" s="16" t="n">
        <f aca="false">-E51*0.25</f>
        <v>-29.5</v>
      </c>
      <c r="F52" s="16" t="n">
        <f aca="false">-F51*0.25</f>
        <v>-61.25</v>
      </c>
      <c r="G52" s="16" t="n">
        <f aca="false">-G51*0.25</f>
        <v>-100</v>
      </c>
      <c r="H52" s="16" t="n">
        <f aca="false">-H51*0.25</f>
        <v>-131.25</v>
      </c>
      <c r="I52" s="16" t="n">
        <f aca="false">-I51*0.25</f>
        <v>-157.5</v>
      </c>
    </row>
    <row r="53" customFormat="false" ht="15" hidden="false" customHeight="false" outlineLevel="0" collapsed="false">
      <c r="A53" s="6" t="s">
        <v>145</v>
      </c>
      <c r="B53" s="7" t="n">
        <v>28</v>
      </c>
      <c r="C53" s="7" t="n">
        <v>22</v>
      </c>
      <c r="D53" s="7" t="n">
        <v>18</v>
      </c>
      <c r="E53" s="7" t="n">
        <v>16</v>
      </c>
      <c r="F53" s="7" t="n">
        <v>15</v>
      </c>
      <c r="G53" s="7" t="n">
        <v>14</v>
      </c>
      <c r="H53" s="7" t="n">
        <v>13</v>
      </c>
      <c r="I53" s="7" t="n">
        <v>12</v>
      </c>
    </row>
    <row r="54" customFormat="false" ht="15" hidden="false" customHeight="false" outlineLevel="0" collapsed="false">
      <c r="A54" s="6" t="s">
        <v>146</v>
      </c>
      <c r="B54" s="7" t="n">
        <v>11</v>
      </c>
      <c r="C54" s="7" t="n">
        <v>12</v>
      </c>
      <c r="D54" s="7" t="n">
        <v>14</v>
      </c>
      <c r="E54" s="7" t="n">
        <v>16</v>
      </c>
      <c r="F54" s="7" t="n">
        <v>18</v>
      </c>
      <c r="G54" s="7" t="n">
        <v>20</v>
      </c>
      <c r="H54" s="7" t="n">
        <v>22</v>
      </c>
      <c r="I54" s="7" t="n">
        <v>23</v>
      </c>
    </row>
    <row r="55" customFormat="false" ht="15" hidden="false" customHeight="false" outlineLevel="0" collapsed="false">
      <c r="A55" s="5" t="s">
        <v>147</v>
      </c>
      <c r="B55" s="32" t="n">
        <f aca="false">B51+B52+B53+B54</f>
        <v>39</v>
      </c>
      <c r="C55" s="32" t="n">
        <f aca="false">C51+C52+C53+C54</f>
        <v>34</v>
      </c>
      <c r="D55" s="32" t="n">
        <f aca="false">D51+D52+D53+D54</f>
        <v>56.75</v>
      </c>
      <c r="E55" s="32" t="n">
        <f aca="false">E51+E52+E53+E54</f>
        <v>120.5</v>
      </c>
      <c r="F55" s="32" t="n">
        <f aca="false">F51+F52+F53+F54</f>
        <v>216.75</v>
      </c>
      <c r="G55" s="32" t="n">
        <f aca="false">G51+G52+G53+G54</f>
        <v>334</v>
      </c>
      <c r="H55" s="32" t="n">
        <f aca="false">H51+H52+H53+H54</f>
        <v>428.75</v>
      </c>
      <c r="I55" s="32" t="n">
        <f aca="false">I51+I52+I53+I54</f>
        <v>507.5</v>
      </c>
    </row>
    <row r="56" customFormat="false" ht="15" hidden="false" customHeight="false" outlineLevel="0" collapsed="false">
      <c r="A56" s="6" t="s">
        <v>148</v>
      </c>
      <c r="B56" s="16" t="n">
        <f aca="false">-MAX(0,B55*$B$15)</f>
        <v>-8.19</v>
      </c>
      <c r="C56" s="16" t="n">
        <f aca="false">-MAX(0,C55*$B$15)</f>
        <v>-7.14</v>
      </c>
      <c r="D56" s="16" t="n">
        <f aca="false">-MAX(0,D55*$B$15)</f>
        <v>-11.9175</v>
      </c>
      <c r="E56" s="16" t="n">
        <f aca="false">-MAX(0,E55*$B$15)</f>
        <v>-25.305</v>
      </c>
      <c r="F56" s="16" t="n">
        <f aca="false">-MAX(0,F55*$B$15)</f>
        <v>-45.5175</v>
      </c>
      <c r="G56" s="16" t="n">
        <f aca="false">-MAX(0,G55*$B$15)</f>
        <v>-70.14</v>
      </c>
      <c r="H56" s="16" t="n">
        <f aca="false">-MAX(0,H55*$B$15)</f>
        <v>-90.0375</v>
      </c>
      <c r="I56" s="16" t="n">
        <f aca="false">-MAX(0,I55*$B$15)</f>
        <v>-106.575</v>
      </c>
    </row>
    <row r="57" customFormat="false" ht="15" hidden="false" customHeight="false" outlineLevel="0" collapsed="false">
      <c r="A57" s="5" t="s">
        <v>149</v>
      </c>
      <c r="B57" s="32" t="n">
        <f aca="false">B55+B56</f>
        <v>30.81</v>
      </c>
      <c r="C57" s="32" t="n">
        <f aca="false">C55+C56</f>
        <v>26.86</v>
      </c>
      <c r="D57" s="32" t="n">
        <f aca="false">D55+D56</f>
        <v>44.8325</v>
      </c>
      <c r="E57" s="32" t="n">
        <f aca="false">E55+E56</f>
        <v>95.195</v>
      </c>
      <c r="F57" s="32" t="n">
        <f aca="false">F55+F56</f>
        <v>171.2325</v>
      </c>
      <c r="G57" s="32" t="n">
        <f aca="false">G55+G56</f>
        <v>263.86</v>
      </c>
      <c r="H57" s="32" t="n">
        <f aca="false">H55+H56</f>
        <v>338.7125</v>
      </c>
      <c r="I57" s="32" t="n">
        <f aca="false">I55+I56</f>
        <v>400.925</v>
      </c>
    </row>
    <row r="58" customFormat="false" ht="15" hidden="false" customHeight="false" outlineLevel="0" collapsed="false">
      <c r="A58" s="6" t="s">
        <v>150</v>
      </c>
      <c r="B58" s="7" t="n">
        <v>1</v>
      </c>
      <c r="C58" s="7" t="n">
        <v>1</v>
      </c>
      <c r="D58" s="7" t="n">
        <v>1</v>
      </c>
      <c r="E58" s="7" t="n">
        <v>2</v>
      </c>
      <c r="F58" s="7" t="n">
        <v>3</v>
      </c>
      <c r="G58" s="7" t="n">
        <v>4</v>
      </c>
      <c r="H58" s="7" t="n">
        <v>4</v>
      </c>
      <c r="I58" s="7" t="n">
        <v>4</v>
      </c>
    </row>
    <row r="59" customFormat="false" ht="15" hidden="false" customHeight="false" outlineLevel="0" collapsed="false">
      <c r="A59" s="6" t="s">
        <v>151</v>
      </c>
      <c r="B59" s="7" t="n">
        <v>-2</v>
      </c>
      <c r="C59" s="7" t="n">
        <v>-2</v>
      </c>
      <c r="D59" s="7" t="n">
        <v>-4</v>
      </c>
      <c r="E59" s="7" t="n">
        <v>-6</v>
      </c>
      <c r="F59" s="7" t="n">
        <v>-8</v>
      </c>
      <c r="G59" s="7" t="n">
        <v>-8</v>
      </c>
      <c r="H59" s="7" t="n">
        <v>-6</v>
      </c>
      <c r="I59" s="7" t="n">
        <v>-6</v>
      </c>
    </row>
    <row r="60" customFormat="false" ht="15" hidden="false" customHeight="false" outlineLevel="0" collapsed="false">
      <c r="A60" s="6" t="s">
        <v>152</v>
      </c>
      <c r="B60" s="7" t="n">
        <v>-2</v>
      </c>
      <c r="C60" s="7" t="n">
        <v>-2</v>
      </c>
      <c r="D60" s="7" t="n">
        <v>-4</v>
      </c>
      <c r="E60" s="7" t="n">
        <v>-6</v>
      </c>
      <c r="F60" s="7" t="n">
        <v>-6</v>
      </c>
      <c r="G60" s="7" t="n">
        <v>-4</v>
      </c>
      <c r="H60" s="7" t="n">
        <v>-2</v>
      </c>
      <c r="I60" s="7" t="n">
        <v>-1</v>
      </c>
    </row>
    <row r="61" customFormat="false" ht="15" hidden="false" customHeight="false" outlineLevel="0" collapsed="false">
      <c r="A61" s="8" t="s">
        <v>153</v>
      </c>
      <c r="B61" s="9" t="n">
        <f aca="false">B57+B58+B59+B60</f>
        <v>27.81</v>
      </c>
      <c r="C61" s="9" t="n">
        <f aca="false">C57+C58+C59+C60</f>
        <v>23.86</v>
      </c>
      <c r="D61" s="9" t="n">
        <f aca="false">D57+D58+D59+D60</f>
        <v>37.8325</v>
      </c>
      <c r="E61" s="9" t="n">
        <f aca="false">E57+E58+E59+E60</f>
        <v>85.195</v>
      </c>
      <c r="F61" s="9" t="n">
        <f aca="false">F57+F58+F59+F60</f>
        <v>160.2325</v>
      </c>
      <c r="G61" s="9" t="n">
        <f aca="false">G57+G58+G59+G60</f>
        <v>255.86</v>
      </c>
      <c r="H61" s="9" t="n">
        <f aca="false">H57+H58+H59+H60</f>
        <v>334.7125</v>
      </c>
      <c r="I61" s="9" t="n">
        <f aca="false">I57+I58+I59+I60</f>
        <v>397.925</v>
      </c>
    </row>
    <row r="62" customFormat="false" ht="15" hidden="false" customHeight="false" outlineLevel="0" collapsed="false">
      <c r="A62" s="6" t="s">
        <v>154</v>
      </c>
      <c r="B62" s="33" t="n">
        <f aca="false">1/(1+$B$13)^1</f>
        <v>0.892857142857143</v>
      </c>
      <c r="C62" s="33" t="n">
        <f aca="false">1/(1+$B$13)^2</f>
        <v>0.79719387755102</v>
      </c>
      <c r="D62" s="33" t="n">
        <f aca="false">1/(1+$B$13)^3</f>
        <v>0.711780247813411</v>
      </c>
      <c r="E62" s="33" t="n">
        <f aca="false">1/(1+$B$13)^4</f>
        <v>0.635518078404831</v>
      </c>
      <c r="F62" s="33" t="n">
        <f aca="false">1/(1+$B$13)^5</f>
        <v>0.567426855718599</v>
      </c>
      <c r="G62" s="33" t="n">
        <f aca="false">1/(1+$B$13)^6</f>
        <v>0.506631121177321</v>
      </c>
      <c r="H62" s="33" t="n">
        <f aca="false">1/(1+$B$13)^7</f>
        <v>0.452349215336893</v>
      </c>
      <c r="I62" s="33" t="n">
        <f aca="false">1/(1+$B$13)^8</f>
        <v>0.403883227979369</v>
      </c>
    </row>
    <row r="63" customFormat="false" ht="15" hidden="false" customHeight="false" outlineLevel="0" collapsed="false">
      <c r="A63" s="5" t="s">
        <v>155</v>
      </c>
      <c r="B63" s="32" t="n">
        <f aca="false">B61*B62</f>
        <v>24.8303571428571</v>
      </c>
      <c r="C63" s="32" t="n">
        <f aca="false">C61*C62</f>
        <v>19.0210459183673</v>
      </c>
      <c r="D63" s="32" t="n">
        <f aca="false">D61*D62</f>
        <v>26.9284262254009</v>
      </c>
      <c r="E63" s="32" t="n">
        <f aca="false">E61*E62</f>
        <v>54.1429626896996</v>
      </c>
      <c r="F63" s="32" t="n">
        <f aca="false">F61*F62</f>
        <v>90.9202236589305</v>
      </c>
      <c r="G63" s="32" t="n">
        <f aca="false">G61*G62</f>
        <v>129.626638664429</v>
      </c>
      <c r="H63" s="32" t="n">
        <f aca="false">H61*H62</f>
        <v>151.40693673845</v>
      </c>
      <c r="I63" s="32" t="n">
        <f aca="false">I61*I62</f>
        <v>160.71523349369</v>
      </c>
    </row>
    <row r="65" customFormat="false" ht="15" hidden="false" customHeight="false" outlineLevel="0" collapsed="false">
      <c r="A65" s="5" t="s">
        <v>156</v>
      </c>
      <c r="B65" s="32" t="n">
        <f aca="false">SUM(B63:I63)</f>
        <v>657.591824531825</v>
      </c>
    </row>
    <row r="66" customFormat="false" ht="15" hidden="false" customHeight="false" outlineLevel="0" collapsed="false">
      <c r="A66" s="5" t="s">
        <v>158</v>
      </c>
      <c r="B66" s="32" t="n">
        <f aca="false">IF($B$14=0,I61/$B$13,I61*(1+$B$14)/($B$13-$B$14))/(1+$B$13)^8</f>
        <v>1339.29361244742</v>
      </c>
    </row>
    <row r="67" customFormat="false" ht="15" hidden="false" customHeight="false" outlineLevel="0" collapsed="false">
      <c r="A67" s="11" t="s">
        <v>163</v>
      </c>
      <c r="B67" s="12" t="n">
        <f aca="false">B65+B66</f>
        <v>1996.88543697925</v>
      </c>
    </row>
    <row r="68" customFormat="false" ht="15" hidden="false" customHeight="false" outlineLevel="0" collapsed="false">
      <c r="A68" s="5" t="s">
        <v>164</v>
      </c>
      <c r="B68" s="14" t="n">
        <f aca="false">(B67*1000+13900)/(B16*1000)</f>
        <v>15.4675802844557</v>
      </c>
    </row>
    <row r="70" customFormat="false" ht="15" hidden="false" customHeight="false" outlineLevel="0" collapsed="false">
      <c r="A70" s="36" t="s">
        <v>165</v>
      </c>
      <c r="B70" s="37"/>
      <c r="C70" s="37"/>
      <c r="D70" s="37"/>
      <c r="E70" s="37"/>
      <c r="F70" s="37"/>
      <c r="G70" s="37"/>
      <c r="H70" s="37"/>
      <c r="I70" s="37"/>
    </row>
    <row r="71" customFormat="false" ht="15" hidden="false" customHeight="false" outlineLevel="0" collapsed="false">
      <c r="A71" s="5" t="s">
        <v>131</v>
      </c>
      <c r="B71" s="31" t="n">
        <v>0.3</v>
      </c>
    </row>
    <row r="72" customFormat="false" ht="15" hidden="false" customHeight="false" outlineLevel="0" collapsed="false">
      <c r="A72" s="4"/>
      <c r="B72" s="4" t="s">
        <v>132</v>
      </c>
      <c r="C72" s="4" t="s">
        <v>133</v>
      </c>
      <c r="D72" s="4" t="s">
        <v>134</v>
      </c>
      <c r="E72" s="4" t="s">
        <v>135</v>
      </c>
      <c r="F72" s="4" t="s">
        <v>136</v>
      </c>
      <c r="G72" s="4" t="s">
        <v>137</v>
      </c>
      <c r="H72" s="4" t="s">
        <v>138</v>
      </c>
      <c r="I72" s="4" t="s">
        <v>139</v>
      </c>
    </row>
    <row r="73" customFormat="false" ht="15" hidden="false" customHeight="false" outlineLevel="0" collapsed="false">
      <c r="A73" s="6" t="s">
        <v>140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</row>
    <row r="74" customFormat="false" ht="15" hidden="false" customHeight="false" outlineLevel="0" collapsed="false">
      <c r="A74" s="6" t="s">
        <v>141</v>
      </c>
      <c r="B74" s="7" t="n">
        <v>0</v>
      </c>
      <c r="C74" s="7" t="n">
        <v>0</v>
      </c>
      <c r="D74" s="7" t="n">
        <v>0</v>
      </c>
      <c r="E74" s="7" t="n">
        <v>5</v>
      </c>
      <c r="F74" s="7" t="n">
        <v>15</v>
      </c>
      <c r="G74" s="7" t="n">
        <v>30</v>
      </c>
      <c r="H74" s="7" t="n">
        <v>50</v>
      </c>
      <c r="I74" s="7" t="n">
        <v>75</v>
      </c>
    </row>
    <row r="75" customFormat="false" ht="15" hidden="false" customHeight="false" outlineLevel="0" collapsed="false">
      <c r="A75" s="6" t="s">
        <v>142</v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</row>
    <row r="76" customFormat="false" ht="15" hidden="false" customHeight="false" outlineLevel="0" collapsed="false">
      <c r="A76" s="8" t="s">
        <v>143</v>
      </c>
      <c r="B76" s="9" t="n">
        <f aca="false">B73+B74+B75</f>
        <v>0</v>
      </c>
      <c r="C76" s="9" t="n">
        <f aca="false">C73+C74+C75</f>
        <v>0</v>
      </c>
      <c r="D76" s="9" t="n">
        <f aca="false">D73+D74+D75</f>
        <v>0</v>
      </c>
      <c r="E76" s="9" t="n">
        <f aca="false">E73+E74+E75</f>
        <v>5</v>
      </c>
      <c r="F76" s="9" t="n">
        <f aca="false">F73+F74+F75</f>
        <v>15</v>
      </c>
      <c r="G76" s="9" t="n">
        <f aca="false">G73+G74+G75</f>
        <v>30</v>
      </c>
      <c r="H76" s="9" t="n">
        <f aca="false">H73+H74+H75</f>
        <v>50</v>
      </c>
      <c r="I76" s="9" t="n">
        <f aca="false">I73+I74+I75</f>
        <v>75</v>
      </c>
    </row>
    <row r="77" customFormat="false" ht="15" hidden="false" customHeight="false" outlineLevel="0" collapsed="false">
      <c r="A77" s="6" t="s">
        <v>144</v>
      </c>
      <c r="B77" s="16" t="n">
        <f aca="false">-B76*0.25</f>
        <v>-0</v>
      </c>
      <c r="C77" s="16" t="n">
        <f aca="false">-C76*0.25</f>
        <v>-0</v>
      </c>
      <c r="D77" s="16" t="n">
        <f aca="false">-D76*0.25</f>
        <v>-0</v>
      </c>
      <c r="E77" s="16" t="n">
        <f aca="false">-E76*0.25</f>
        <v>-1.25</v>
      </c>
      <c r="F77" s="16" t="n">
        <f aca="false">-F76*0.25</f>
        <v>-3.75</v>
      </c>
      <c r="G77" s="16" t="n">
        <f aca="false">-G76*0.25</f>
        <v>-7.5</v>
      </c>
      <c r="H77" s="16" t="n">
        <f aca="false">-H76*0.25</f>
        <v>-12.5</v>
      </c>
      <c r="I77" s="16" t="n">
        <f aca="false">-I76*0.25</f>
        <v>-18.75</v>
      </c>
    </row>
    <row r="78" customFormat="false" ht="15" hidden="false" customHeight="false" outlineLevel="0" collapsed="false">
      <c r="A78" s="6" t="s">
        <v>145</v>
      </c>
      <c r="B78" s="7" t="n">
        <v>15</v>
      </c>
      <c r="C78" s="7" t="n">
        <v>10</v>
      </c>
      <c r="D78" s="7" t="n">
        <v>8</v>
      </c>
      <c r="E78" s="7" t="n">
        <v>8</v>
      </c>
      <c r="F78" s="7" t="n">
        <v>8</v>
      </c>
      <c r="G78" s="7" t="n">
        <v>7</v>
      </c>
      <c r="H78" s="7" t="n">
        <v>7</v>
      </c>
      <c r="I78" s="7" t="n">
        <v>7</v>
      </c>
    </row>
    <row r="79" customFormat="false" ht="15" hidden="false" customHeight="false" outlineLevel="0" collapsed="false">
      <c r="A79" s="6" t="s">
        <v>146</v>
      </c>
      <c r="B79" s="7" t="n">
        <v>8</v>
      </c>
      <c r="C79" s="7" t="n">
        <v>6</v>
      </c>
      <c r="D79" s="7" t="n">
        <v>5</v>
      </c>
      <c r="E79" s="7" t="n">
        <v>5</v>
      </c>
      <c r="F79" s="7" t="n">
        <v>5</v>
      </c>
      <c r="G79" s="7" t="n">
        <v>5</v>
      </c>
      <c r="H79" s="7" t="n">
        <v>5</v>
      </c>
      <c r="I79" s="7" t="n">
        <v>5</v>
      </c>
    </row>
    <row r="80" customFormat="false" ht="15" hidden="false" customHeight="false" outlineLevel="0" collapsed="false">
      <c r="A80" s="5" t="s">
        <v>147</v>
      </c>
      <c r="B80" s="32" t="n">
        <f aca="false">B76+B77+B78+B79</f>
        <v>23</v>
      </c>
      <c r="C80" s="32" t="n">
        <f aca="false">C76+C77+C78+C79</f>
        <v>16</v>
      </c>
      <c r="D80" s="32" t="n">
        <f aca="false">D76+D77+D78+D79</f>
        <v>13</v>
      </c>
      <c r="E80" s="32" t="n">
        <f aca="false">E76+E77+E78+E79</f>
        <v>16.75</v>
      </c>
      <c r="F80" s="32" t="n">
        <f aca="false">F76+F77+F78+F79</f>
        <v>24.25</v>
      </c>
      <c r="G80" s="32" t="n">
        <f aca="false">G76+G77+G78+G79</f>
        <v>34.5</v>
      </c>
      <c r="H80" s="32" t="n">
        <f aca="false">H76+H77+H78+H79</f>
        <v>49.5</v>
      </c>
      <c r="I80" s="32" t="n">
        <f aca="false">I76+I77+I78+I79</f>
        <v>68.25</v>
      </c>
    </row>
    <row r="81" customFormat="false" ht="15" hidden="false" customHeight="false" outlineLevel="0" collapsed="false">
      <c r="A81" s="6" t="s">
        <v>148</v>
      </c>
      <c r="B81" s="16" t="n">
        <f aca="false">-MAX(0,B80*$B$15)</f>
        <v>-4.83</v>
      </c>
      <c r="C81" s="16" t="n">
        <f aca="false">-MAX(0,C80*$B$15)</f>
        <v>-3.36</v>
      </c>
      <c r="D81" s="16" t="n">
        <f aca="false">-MAX(0,D80*$B$15)</f>
        <v>-2.73</v>
      </c>
      <c r="E81" s="16" t="n">
        <f aca="false">-MAX(0,E80*$B$15)</f>
        <v>-3.5175</v>
      </c>
      <c r="F81" s="16" t="n">
        <f aca="false">-MAX(0,F80*$B$15)</f>
        <v>-5.0925</v>
      </c>
      <c r="G81" s="16" t="n">
        <f aca="false">-MAX(0,G80*$B$15)</f>
        <v>-7.245</v>
      </c>
      <c r="H81" s="16" t="n">
        <f aca="false">-MAX(0,H80*$B$15)</f>
        <v>-10.395</v>
      </c>
      <c r="I81" s="16" t="n">
        <f aca="false">-MAX(0,I80*$B$15)</f>
        <v>-14.3325</v>
      </c>
    </row>
    <row r="82" customFormat="false" ht="15" hidden="false" customHeight="false" outlineLevel="0" collapsed="false">
      <c r="A82" s="5" t="s">
        <v>149</v>
      </c>
      <c r="B82" s="32" t="n">
        <f aca="false">B80+B81</f>
        <v>18.17</v>
      </c>
      <c r="C82" s="32" t="n">
        <f aca="false">C80+C81</f>
        <v>12.64</v>
      </c>
      <c r="D82" s="32" t="n">
        <f aca="false">D80+D81</f>
        <v>10.27</v>
      </c>
      <c r="E82" s="32" t="n">
        <f aca="false">E80+E81</f>
        <v>13.2325</v>
      </c>
      <c r="F82" s="32" t="n">
        <f aca="false">F80+F81</f>
        <v>19.1575</v>
      </c>
      <c r="G82" s="32" t="n">
        <f aca="false">G80+G81</f>
        <v>27.255</v>
      </c>
      <c r="H82" s="32" t="n">
        <f aca="false">H80+H81</f>
        <v>39.105</v>
      </c>
      <c r="I82" s="32" t="n">
        <f aca="false">I80+I81</f>
        <v>53.9175</v>
      </c>
    </row>
    <row r="83" customFormat="false" ht="15" hidden="false" customHeight="false" outlineLevel="0" collapsed="false">
      <c r="A83" s="6" t="s">
        <v>150</v>
      </c>
      <c r="B83" s="7" t="n">
        <v>1</v>
      </c>
      <c r="C83" s="7" t="n">
        <v>1</v>
      </c>
      <c r="D83" s="7" t="n">
        <v>1</v>
      </c>
      <c r="E83" s="7" t="n">
        <v>1</v>
      </c>
      <c r="F83" s="7" t="n">
        <v>1</v>
      </c>
      <c r="G83" s="7" t="n">
        <v>1</v>
      </c>
      <c r="H83" s="7" t="n">
        <v>1</v>
      </c>
      <c r="I83" s="7" t="n">
        <v>1</v>
      </c>
    </row>
    <row r="84" customFormat="false" ht="15" hidden="false" customHeight="false" outlineLevel="0" collapsed="false">
      <c r="A84" s="6" t="s">
        <v>151</v>
      </c>
      <c r="B84" s="7" t="n">
        <v>-1</v>
      </c>
      <c r="C84" s="7" t="n">
        <v>-1</v>
      </c>
      <c r="D84" s="7" t="n">
        <v>-1</v>
      </c>
      <c r="E84" s="7" t="n">
        <v>-1</v>
      </c>
      <c r="F84" s="7" t="n">
        <v>-1</v>
      </c>
      <c r="G84" s="7" t="n">
        <v>-1</v>
      </c>
      <c r="H84" s="7" t="n">
        <v>-1</v>
      </c>
      <c r="I84" s="7" t="n">
        <v>-1</v>
      </c>
    </row>
    <row r="85" customFormat="false" ht="15" hidden="false" customHeight="false" outlineLevel="0" collapsed="false">
      <c r="A85" s="6" t="s">
        <v>152</v>
      </c>
      <c r="B85" s="7" t="n">
        <v>-1</v>
      </c>
      <c r="C85" s="7" t="n">
        <v>-1</v>
      </c>
      <c r="D85" s="7" t="n">
        <v>-1</v>
      </c>
      <c r="E85" s="7" t="n">
        <v>-1</v>
      </c>
      <c r="F85" s="7" t="n">
        <v>-1</v>
      </c>
      <c r="G85" s="7" t="n">
        <v>-1</v>
      </c>
      <c r="H85" s="7" t="n">
        <v>0</v>
      </c>
      <c r="I85" s="7" t="n">
        <v>0</v>
      </c>
    </row>
    <row r="86" customFormat="false" ht="15" hidden="false" customHeight="false" outlineLevel="0" collapsed="false">
      <c r="A86" s="8" t="s">
        <v>153</v>
      </c>
      <c r="B86" s="9" t="n">
        <f aca="false">B82+B83+B84+B85</f>
        <v>17.17</v>
      </c>
      <c r="C86" s="9" t="n">
        <f aca="false">C82+C83+C84+C85</f>
        <v>11.64</v>
      </c>
      <c r="D86" s="9" t="n">
        <f aca="false">D82+D83+D84+D85</f>
        <v>9.27</v>
      </c>
      <c r="E86" s="9" t="n">
        <f aca="false">E82+E83+E84+E85</f>
        <v>12.2325</v>
      </c>
      <c r="F86" s="9" t="n">
        <f aca="false">F82+F83+F84+F85</f>
        <v>18.1575</v>
      </c>
      <c r="G86" s="9" t="n">
        <f aca="false">G82+G83+G84+G85</f>
        <v>26.255</v>
      </c>
      <c r="H86" s="9" t="n">
        <f aca="false">H82+H83+H84+H85</f>
        <v>39.105</v>
      </c>
      <c r="I86" s="9" t="n">
        <f aca="false">I82+I83+I84+I85</f>
        <v>53.9175</v>
      </c>
    </row>
    <row r="87" customFormat="false" ht="15" hidden="false" customHeight="false" outlineLevel="0" collapsed="false">
      <c r="A87" s="6" t="s">
        <v>154</v>
      </c>
      <c r="B87" s="33" t="n">
        <f aca="false">1/(1+$B$13)^1</f>
        <v>0.892857142857143</v>
      </c>
      <c r="C87" s="33" t="n">
        <f aca="false">1/(1+$B$13)^2</f>
        <v>0.79719387755102</v>
      </c>
      <c r="D87" s="33" t="n">
        <f aca="false">1/(1+$B$13)^3</f>
        <v>0.711780247813411</v>
      </c>
      <c r="E87" s="33" t="n">
        <f aca="false">1/(1+$B$13)^4</f>
        <v>0.635518078404831</v>
      </c>
      <c r="F87" s="33" t="n">
        <f aca="false">1/(1+$B$13)^5</f>
        <v>0.567426855718599</v>
      </c>
      <c r="G87" s="33" t="n">
        <f aca="false">1/(1+$B$13)^6</f>
        <v>0.506631121177321</v>
      </c>
      <c r="H87" s="33" t="n">
        <f aca="false">1/(1+$B$13)^7</f>
        <v>0.452349215336893</v>
      </c>
      <c r="I87" s="33" t="n">
        <f aca="false">1/(1+$B$13)^8</f>
        <v>0.403883227979369</v>
      </c>
    </row>
    <row r="88" customFormat="false" ht="15" hidden="false" customHeight="false" outlineLevel="0" collapsed="false">
      <c r="A88" s="5" t="s">
        <v>155</v>
      </c>
      <c r="B88" s="32" t="n">
        <f aca="false">B86*B87</f>
        <v>15.3303571428571</v>
      </c>
      <c r="C88" s="32" t="n">
        <f aca="false">C86*C87</f>
        <v>9.27933673469388</v>
      </c>
      <c r="D88" s="32" t="n">
        <f aca="false">D86*D87</f>
        <v>6.59820289723032</v>
      </c>
      <c r="E88" s="32" t="n">
        <f aca="false">E86*E87</f>
        <v>7.7739748940871</v>
      </c>
      <c r="F88" s="32" t="n">
        <f aca="false">F86*F87</f>
        <v>10.3030531327105</v>
      </c>
      <c r="G88" s="32" t="n">
        <f aca="false">G86*G87</f>
        <v>13.3016000865106</v>
      </c>
      <c r="H88" s="32" t="n">
        <f aca="false">H86*H87</f>
        <v>17.6891160657492</v>
      </c>
      <c r="I88" s="32" t="n">
        <f aca="false">I86*I87</f>
        <v>21.7763739445776</v>
      </c>
    </row>
    <row r="90" customFormat="false" ht="15" hidden="false" customHeight="false" outlineLevel="0" collapsed="false">
      <c r="A90" s="5" t="s">
        <v>156</v>
      </c>
      <c r="B90" s="32" t="n">
        <f aca="false">SUM(B88:I88)</f>
        <v>102.052014898416</v>
      </c>
    </row>
    <row r="91" customFormat="false" ht="15" hidden="false" customHeight="false" outlineLevel="0" collapsed="false">
      <c r="A91" s="5" t="s">
        <v>158</v>
      </c>
      <c r="B91" s="32" t="n">
        <f aca="false">IF($B$14=0,I86/$B$13,I86*(1+$B$14)/($B$13-$B$14))/(1+$B$13)^8</f>
        <v>181.46978287148</v>
      </c>
    </row>
    <row r="92" customFormat="false" ht="15" hidden="false" customHeight="false" outlineLevel="0" collapsed="false">
      <c r="A92" s="11" t="s">
        <v>166</v>
      </c>
      <c r="B92" s="12" t="n">
        <f aca="false">B90+B91</f>
        <v>283.521797769897</v>
      </c>
    </row>
    <row r="93" customFormat="false" ht="15" hidden="false" customHeight="false" outlineLevel="0" collapsed="false">
      <c r="A93" s="5" t="s">
        <v>167</v>
      </c>
      <c r="B93" s="14" t="n">
        <f aca="false">(B92*1000+13900)/(B16*1000)</f>
        <v>2.28785998284536</v>
      </c>
    </row>
    <row r="96" customFormat="false" ht="15" hidden="false" customHeight="false" outlineLevel="0" collapsed="false">
      <c r="A96" s="10"/>
      <c r="B96" s="38" t="s">
        <v>168</v>
      </c>
      <c r="C96" s="38" t="s">
        <v>169</v>
      </c>
      <c r="D96" s="38" t="s">
        <v>170</v>
      </c>
      <c r="E96" s="10"/>
    </row>
    <row r="97" customFormat="false" ht="15" hidden="false" customHeight="false" outlineLevel="0" collapsed="false">
      <c r="A97" s="5" t="s">
        <v>160</v>
      </c>
      <c r="B97" s="32" t="n">
        <f aca="false">B42</f>
        <v>3465.89413610438</v>
      </c>
      <c r="C97" s="39" t="n">
        <f aca="false">B21</f>
        <v>0.25</v>
      </c>
      <c r="D97" s="32" t="n">
        <f aca="false">B97*C97</f>
        <v>866.473534026095</v>
      </c>
    </row>
    <row r="98" customFormat="false" ht="15" hidden="false" customHeight="false" outlineLevel="0" collapsed="false">
      <c r="A98" s="5" t="s">
        <v>163</v>
      </c>
      <c r="B98" s="32" t="n">
        <f aca="false">B67</f>
        <v>1996.88543697925</v>
      </c>
      <c r="C98" s="39" t="n">
        <f aca="false">B46</f>
        <v>0.45</v>
      </c>
      <c r="D98" s="32" t="n">
        <f aca="false">B98*C98</f>
        <v>898.59844664066</v>
      </c>
    </row>
    <row r="99" customFormat="false" ht="15" hidden="false" customHeight="false" outlineLevel="0" collapsed="false">
      <c r="A99" s="5" t="s">
        <v>166</v>
      </c>
      <c r="B99" s="32" t="n">
        <f aca="false">B92</f>
        <v>283.521797769897</v>
      </c>
      <c r="C99" s="39" t="n">
        <f aca="false">B71</f>
        <v>0.3</v>
      </c>
      <c r="D99" s="32" t="n">
        <f aca="false">B99*C99</f>
        <v>85.056539330969</v>
      </c>
    </row>
    <row r="100" customFormat="false" ht="15" hidden="false" customHeight="false" outlineLevel="0" collapsed="false">
      <c r="A100" s="3" t="s">
        <v>171</v>
      </c>
      <c r="C100" s="40" t="n">
        <f aca="false">C97+C98+C99</f>
        <v>1</v>
      </c>
    </row>
    <row r="101" customFormat="false" ht="15" hidden="false" customHeight="false" outlineLevel="0" collapsed="false">
      <c r="A101" s="41" t="s">
        <v>172</v>
      </c>
      <c r="B101" s="42"/>
      <c r="C101" s="42"/>
      <c r="D101" s="43" t="n">
        <f aca="false">SUM(D97:D99)</f>
        <v>1850.12851999772</v>
      </c>
    </row>
    <row r="102" customFormat="false" ht="15" hidden="false" customHeight="false" outlineLevel="0" collapsed="false">
      <c r="A102" s="44" t="s">
        <v>173</v>
      </c>
      <c r="D102" s="45" t="n">
        <f aca="false">(D101*1000+13900)/(B16*1000)</f>
        <v>14.3386809230594</v>
      </c>
      <c r="I102" s="3" t="s">
        <v>174</v>
      </c>
    </row>
    <row r="103" customFormat="false" ht="15" hidden="false" customHeight="false" outlineLevel="0" collapsed="false">
      <c r="A103" s="6" t="s">
        <v>175</v>
      </c>
      <c r="D103" s="27" t="n">
        <f aca="false">B17</f>
        <v>4.76</v>
      </c>
    </row>
    <row r="104" customFormat="false" ht="15" hidden="false" customHeight="false" outlineLevel="0" collapsed="false">
      <c r="A104" s="5" t="s">
        <v>176</v>
      </c>
      <c r="D104" s="46" t="n">
        <f aca="false">(D102-D103)/D103</f>
        <v>2.01232792501248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6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10" t="s">
        <v>178</v>
      </c>
      <c r="B3" s="10"/>
      <c r="C3" s="10"/>
      <c r="D3" s="10"/>
      <c r="E3" s="10"/>
      <c r="F3" s="10"/>
      <c r="G3" s="10"/>
    </row>
    <row r="4" customFormat="false" ht="26.85" hidden="false" customHeight="false" outlineLevel="0" collapsed="false">
      <c r="A4" s="4" t="s">
        <v>179</v>
      </c>
      <c r="B4" s="4" t="s">
        <v>180</v>
      </c>
      <c r="C4" s="4" t="s">
        <v>181</v>
      </c>
      <c r="D4" s="4" t="s">
        <v>182</v>
      </c>
    </row>
    <row r="5" customFormat="false" ht="15" hidden="false" customHeight="false" outlineLevel="0" collapsed="false">
      <c r="A5" s="6" t="s">
        <v>183</v>
      </c>
      <c r="B5" s="39" t="n">
        <v>0.52</v>
      </c>
      <c r="C5" s="39" t="n">
        <v>0.45</v>
      </c>
      <c r="D5" s="24" t="n">
        <v>0.52</v>
      </c>
    </row>
    <row r="6" customFormat="false" ht="15" hidden="false" customHeight="false" outlineLevel="0" collapsed="false">
      <c r="A6" s="6" t="s">
        <v>184</v>
      </c>
      <c r="B6" s="39" t="n">
        <v>0.289</v>
      </c>
      <c r="C6" s="39" t="n">
        <v>0.2</v>
      </c>
      <c r="D6" s="24" t="n">
        <v>0.35</v>
      </c>
    </row>
    <row r="7" customFormat="false" ht="15" hidden="false" customHeight="false" outlineLevel="0" collapsed="false">
      <c r="A7" s="6" t="s">
        <v>185</v>
      </c>
      <c r="B7" s="39" t="n">
        <v>0.355</v>
      </c>
      <c r="C7" s="39" t="n">
        <v>0.25</v>
      </c>
      <c r="D7" s="24" t="n">
        <v>0.45</v>
      </c>
    </row>
    <row r="8" customFormat="false" ht="15" hidden="false" customHeight="false" outlineLevel="0" collapsed="false">
      <c r="A8" s="6" t="s">
        <v>186</v>
      </c>
      <c r="B8" s="39" t="n">
        <v>0.85</v>
      </c>
      <c r="C8" s="39" t="n">
        <v>0.8</v>
      </c>
      <c r="D8" s="24" t="n">
        <v>0.85</v>
      </c>
    </row>
    <row r="9" customFormat="false" ht="15" hidden="false" customHeight="false" outlineLevel="0" collapsed="false">
      <c r="A9" s="22" t="s">
        <v>187</v>
      </c>
      <c r="B9" s="47" t="n">
        <f aca="false">B5*B6*B7*B8</f>
        <v>0.04534699</v>
      </c>
      <c r="C9" s="47" t="n">
        <f aca="false">C5*C6*C7*C8</f>
        <v>0.018</v>
      </c>
      <c r="D9" s="47" t="n">
        <f aca="false">D5*D6*D7*D8</f>
        <v>0.069615</v>
      </c>
    </row>
    <row r="30" customFormat="false" ht="15" hidden="false" customHeight="false" outlineLevel="0" collapsed="false">
      <c r="A30" s="10" t="s">
        <v>188</v>
      </c>
      <c r="B30" s="10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6" t="s">
        <v>189</v>
      </c>
      <c r="B31" s="39" t="n">
        <v>0.355</v>
      </c>
      <c r="C31" s="3" t="s">
        <v>190</v>
      </c>
    </row>
    <row r="32" customFormat="false" ht="15" hidden="false" customHeight="false" outlineLevel="0" collapsed="false">
      <c r="A32" s="6" t="s">
        <v>191</v>
      </c>
      <c r="B32" s="48" t="n">
        <v>0.05</v>
      </c>
      <c r="C32" s="3" t="s">
        <v>192</v>
      </c>
    </row>
    <row r="33" customFormat="false" ht="15" hidden="false" customHeight="false" outlineLevel="0" collapsed="false">
      <c r="A33" s="6" t="s">
        <v>193</v>
      </c>
      <c r="B33" s="48" t="n">
        <v>0.03</v>
      </c>
      <c r="C33" s="3" t="s">
        <v>194</v>
      </c>
    </row>
    <row r="34" customFormat="false" ht="15" hidden="false" customHeight="false" outlineLevel="0" collapsed="false">
      <c r="A34" s="6" t="s">
        <v>195</v>
      </c>
      <c r="B34" s="48" t="n">
        <v>0.02</v>
      </c>
      <c r="C34" s="3" t="s">
        <v>196</v>
      </c>
    </row>
    <row r="35" customFormat="false" ht="15" hidden="false" customHeight="false" outlineLevel="0" collapsed="false">
      <c r="A35" s="6" t="s">
        <v>197</v>
      </c>
      <c r="B35" s="48" t="n">
        <v>0.02</v>
      </c>
      <c r="C35" s="3" t="s">
        <v>198</v>
      </c>
    </row>
    <row r="36" customFormat="false" ht="15" hidden="false" customHeight="false" outlineLevel="0" collapsed="false">
      <c r="A36" s="6" t="s">
        <v>199</v>
      </c>
      <c r="B36" s="48" t="n">
        <v>0.03</v>
      </c>
      <c r="C36" s="3" t="s">
        <v>200</v>
      </c>
    </row>
    <row r="37" customFormat="false" ht="15" hidden="false" customHeight="false" outlineLevel="0" collapsed="false">
      <c r="A37" s="6" t="s">
        <v>201</v>
      </c>
      <c r="B37" s="49" t="n">
        <v>-0.03</v>
      </c>
      <c r="C37" s="3" t="s">
        <v>202</v>
      </c>
    </row>
    <row r="38" customFormat="false" ht="15" hidden="false" customHeight="false" outlineLevel="0" collapsed="false">
      <c r="A38" s="6" t="s">
        <v>203</v>
      </c>
      <c r="B38" s="49" t="n">
        <v>-0.02</v>
      </c>
      <c r="C38" s="3" t="s">
        <v>204</v>
      </c>
    </row>
    <row r="39" customFormat="false" ht="15" hidden="false" customHeight="false" outlineLevel="0" collapsed="false">
      <c r="A39" s="22" t="s">
        <v>205</v>
      </c>
      <c r="B39" s="47" t="n">
        <f aca="false">SUM(B31:B38)</f>
        <v>0.455</v>
      </c>
      <c r="C39" s="50"/>
    </row>
    <row r="41" customFormat="false" ht="15" hidden="false" customHeight="false" outlineLevel="0" collapsed="false">
      <c r="A41" s="10" t="s">
        <v>206</v>
      </c>
      <c r="B41" s="10"/>
      <c r="C41" s="10"/>
      <c r="D41" s="10"/>
      <c r="E41" s="10"/>
      <c r="F41" s="10"/>
      <c r="G41" s="10"/>
    </row>
    <row r="42" customFormat="false" ht="26.85" hidden="false" customHeight="false" outlineLevel="0" collapsed="false">
      <c r="A42" s="4" t="s">
        <v>207</v>
      </c>
      <c r="B42" s="4" t="s">
        <v>208</v>
      </c>
      <c r="C42" s="4" t="s">
        <v>209</v>
      </c>
      <c r="D42" s="4" t="s">
        <v>210</v>
      </c>
      <c r="E42" s="4" t="s">
        <v>211</v>
      </c>
    </row>
    <row r="43" customFormat="false" ht="15" hidden="false" customHeight="false" outlineLevel="0" collapsed="false">
      <c r="A43" s="6" t="s">
        <v>212</v>
      </c>
      <c r="B43" s="6" t="s">
        <v>213</v>
      </c>
      <c r="C43" s="6" t="s">
        <v>214</v>
      </c>
      <c r="D43" s="5" t="s">
        <v>215</v>
      </c>
      <c r="E43" s="6" t="s">
        <v>216</v>
      </c>
    </row>
    <row r="44" customFormat="false" ht="15" hidden="false" customHeight="false" outlineLevel="0" collapsed="false">
      <c r="A44" s="6" t="s">
        <v>217</v>
      </c>
      <c r="B44" s="6" t="s">
        <v>218</v>
      </c>
      <c r="C44" s="6" t="s">
        <v>219</v>
      </c>
      <c r="D44" s="5" t="s">
        <v>220</v>
      </c>
      <c r="E44" s="6" t="s">
        <v>221</v>
      </c>
    </row>
    <row r="45" customFormat="false" ht="15" hidden="false" customHeight="false" outlineLevel="0" collapsed="false">
      <c r="A45" s="51" t="s">
        <v>222</v>
      </c>
      <c r="B45" s="51" t="s">
        <v>223</v>
      </c>
      <c r="C45" s="51" t="s">
        <v>224</v>
      </c>
      <c r="D45" s="52" t="s">
        <v>225</v>
      </c>
      <c r="E45" s="51" t="s">
        <v>226</v>
      </c>
    </row>
    <row r="46" customFormat="false" ht="15" hidden="false" customHeight="false" outlineLevel="0" collapsed="false">
      <c r="A46" s="53" t="s">
        <v>227</v>
      </c>
      <c r="B46" s="53" t="s">
        <v>228</v>
      </c>
      <c r="C46" s="53" t="s">
        <v>229</v>
      </c>
      <c r="D46" s="54" t="s">
        <v>230</v>
      </c>
      <c r="E46" s="53" t="s">
        <v>231</v>
      </c>
    </row>
    <row r="47" customFormat="false" ht="15" hidden="false" customHeight="false" outlineLevel="0" collapsed="false">
      <c r="A47" s="6" t="s">
        <v>232</v>
      </c>
      <c r="B47" s="6" t="s">
        <v>233</v>
      </c>
      <c r="C47" s="6" t="s">
        <v>234</v>
      </c>
      <c r="D47" s="5" t="s">
        <v>235</v>
      </c>
      <c r="E47" s="6" t="s">
        <v>236</v>
      </c>
    </row>
    <row r="49" customFormat="false" ht="15" hidden="false" customHeight="false" outlineLevel="0" collapsed="false">
      <c r="A49" s="10" t="s">
        <v>237</v>
      </c>
      <c r="B49" s="10"/>
      <c r="C49" s="10"/>
      <c r="D49" s="10"/>
      <c r="E49" s="10"/>
      <c r="F49" s="10"/>
      <c r="G49" s="10"/>
    </row>
    <row r="50" customFormat="false" ht="26.85" hidden="false" customHeight="false" outlineLevel="0" collapsed="false">
      <c r="A50" s="4" t="s">
        <v>238</v>
      </c>
      <c r="B50" s="4" t="s">
        <v>239</v>
      </c>
      <c r="C50" s="4" t="s">
        <v>240</v>
      </c>
    </row>
    <row r="51" customFormat="false" ht="15" hidden="false" customHeight="false" outlineLevel="0" collapsed="false">
      <c r="A51" s="6" t="s">
        <v>241</v>
      </c>
      <c r="B51" s="39" t="n">
        <v>0.15</v>
      </c>
      <c r="C51" s="55" t="n">
        <v>12</v>
      </c>
    </row>
    <row r="52" customFormat="false" ht="15" hidden="false" customHeight="false" outlineLevel="0" collapsed="false">
      <c r="A52" s="6" t="s">
        <v>242</v>
      </c>
      <c r="B52" s="39" t="n">
        <v>0.22</v>
      </c>
      <c r="C52" s="55" t="n">
        <v>18</v>
      </c>
    </row>
    <row r="53" customFormat="false" ht="15" hidden="false" customHeight="false" outlineLevel="0" collapsed="false">
      <c r="A53" s="6" t="s">
        <v>243</v>
      </c>
      <c r="B53" s="39" t="n">
        <v>0.3</v>
      </c>
      <c r="C53" s="55" t="n">
        <v>24</v>
      </c>
    </row>
    <row r="54" customFormat="false" ht="15" hidden="false" customHeight="false" outlineLevel="0" collapsed="false">
      <c r="A54" s="6" t="s">
        <v>244</v>
      </c>
      <c r="B54" s="39" t="n">
        <v>0.37</v>
      </c>
      <c r="C54" s="55" t="n">
        <v>30</v>
      </c>
    </row>
    <row r="55" customFormat="false" ht="15" hidden="false" customHeight="false" outlineLevel="0" collapsed="false">
      <c r="A55" s="6" t="s">
        <v>245</v>
      </c>
      <c r="B55" s="39" t="n">
        <v>0.44</v>
      </c>
      <c r="C55" s="55" t="n">
        <v>35</v>
      </c>
    </row>
    <row r="56" customFormat="false" ht="15" hidden="false" customHeight="false" outlineLevel="0" collapsed="false">
      <c r="A56" s="6" t="s">
        <v>246</v>
      </c>
      <c r="B56" s="39" t="n">
        <v>0.5</v>
      </c>
      <c r="C56" s="55" t="n">
        <v>40</v>
      </c>
    </row>
    <row r="57" customFormat="false" ht="15" hidden="false" customHeight="false" outlineLevel="0" collapsed="false">
      <c r="A57" s="6" t="s">
        <v>247</v>
      </c>
      <c r="B57" s="39" t="n">
        <v>0.56</v>
      </c>
      <c r="C57" s="55" t="n">
        <v>45</v>
      </c>
    </row>
    <row r="58" customFormat="false" ht="15" hidden="false" customHeight="false" outlineLevel="0" collapsed="false">
      <c r="A58" s="6" t="s">
        <v>248</v>
      </c>
      <c r="B58" s="39" t="n">
        <v>0.62</v>
      </c>
      <c r="C58" s="55" t="n">
        <v>50</v>
      </c>
    </row>
    <row r="59" customFormat="false" ht="15" hidden="false" customHeight="false" outlineLevel="0" collapsed="false">
      <c r="A59" s="6" t="s">
        <v>249</v>
      </c>
      <c r="B59" s="39" t="n">
        <v>0.69</v>
      </c>
      <c r="C59" s="55" t="n">
        <v>55</v>
      </c>
    </row>
    <row r="60" customFormat="false" ht="15" hidden="false" customHeight="false" outlineLevel="0" collapsed="false">
      <c r="A60" s="6" t="s">
        <v>250</v>
      </c>
      <c r="B60" s="39" t="n">
        <v>0.75</v>
      </c>
      <c r="C60" s="55" t="n">
        <v>60</v>
      </c>
    </row>
    <row r="61" customFormat="false" ht="15" hidden="false" customHeight="false" outlineLevel="0" collapsed="false">
      <c r="A61" s="6" t="s">
        <v>251</v>
      </c>
      <c r="B61" s="39" t="n">
        <v>0.81</v>
      </c>
      <c r="C61" s="55" t="n">
        <v>65</v>
      </c>
    </row>
    <row r="62" customFormat="false" ht="15" hidden="false" customHeight="false" outlineLevel="0" collapsed="false">
      <c r="A62" s="53" t="s">
        <v>252</v>
      </c>
      <c r="B62" s="48" t="n">
        <v>0.9</v>
      </c>
      <c r="C62" s="56" t="n">
        <v>72</v>
      </c>
    </row>
    <row r="63" customFormat="false" ht="15" hidden="false" customHeight="false" outlineLevel="0" collapsed="false">
      <c r="A63" s="53" t="s">
        <v>253</v>
      </c>
      <c r="B63" s="48" t="n">
        <v>0.95</v>
      </c>
      <c r="C63" s="56" t="n">
        <v>76</v>
      </c>
    </row>
    <row r="64" customFormat="false" ht="15" hidden="false" customHeight="false" outlineLevel="0" collapsed="false">
      <c r="A64" s="53" t="s">
        <v>254</v>
      </c>
      <c r="B64" s="48" t="n">
        <v>1</v>
      </c>
      <c r="C64" s="56" t="n">
        <v>80</v>
      </c>
    </row>
    <row r="85" customFormat="false" ht="15" hidden="false" customHeight="false" outlineLevel="0" collapsed="false">
      <c r="A85" s="10" t="s">
        <v>255</v>
      </c>
      <c r="B85" s="10"/>
      <c r="C85" s="10"/>
      <c r="D85" s="10"/>
      <c r="E85" s="10"/>
      <c r="F85" s="10"/>
      <c r="G85" s="10"/>
    </row>
    <row r="86" customFormat="false" ht="15" hidden="false" customHeight="false" outlineLevel="0" collapsed="false">
      <c r="A86" s="5" t="s">
        <v>256</v>
      </c>
      <c r="B86" s="57" t="s">
        <v>257</v>
      </c>
      <c r="C86" s="57"/>
      <c r="D86" s="57"/>
      <c r="E86" s="57"/>
      <c r="F86" s="57"/>
      <c r="G86" s="57"/>
    </row>
    <row r="87" customFormat="false" ht="15" hidden="false" customHeight="false" outlineLevel="0" collapsed="false">
      <c r="A87" s="5" t="s">
        <v>258</v>
      </c>
      <c r="B87" s="57" t="s">
        <v>259</v>
      </c>
      <c r="C87" s="57"/>
      <c r="D87" s="57"/>
      <c r="E87" s="57"/>
      <c r="F87" s="57"/>
      <c r="G87" s="57"/>
    </row>
    <row r="88" customFormat="false" ht="15" hidden="false" customHeight="false" outlineLevel="0" collapsed="false">
      <c r="A88" s="5" t="s">
        <v>260</v>
      </c>
      <c r="B88" s="57" t="s">
        <v>261</v>
      </c>
      <c r="C88" s="57"/>
      <c r="D88" s="57"/>
      <c r="E88" s="57"/>
      <c r="F88" s="57"/>
      <c r="G88" s="57"/>
    </row>
    <row r="89" customFormat="false" ht="15" hidden="false" customHeight="false" outlineLevel="0" collapsed="false">
      <c r="A89" s="5" t="s">
        <v>262</v>
      </c>
      <c r="B89" s="57" t="s">
        <v>263</v>
      </c>
      <c r="C89" s="57"/>
      <c r="D89" s="57"/>
      <c r="E89" s="57"/>
      <c r="F89" s="57"/>
      <c r="G89" s="57"/>
    </row>
    <row r="90" customFormat="false" ht="15" hidden="false" customHeight="false" outlineLevel="0" collapsed="false">
      <c r="A90" s="5" t="s">
        <v>264</v>
      </c>
      <c r="B90" s="57" t="s">
        <v>265</v>
      </c>
      <c r="C90" s="57"/>
      <c r="D90" s="57"/>
      <c r="E90" s="57"/>
      <c r="F90" s="57"/>
      <c r="G90" s="57"/>
    </row>
  </sheetData>
  <mergeCells count="5"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266</v>
      </c>
    </row>
    <row r="3" customFormat="false" ht="15" hidden="false" customHeight="false" outlineLevel="0" collapsed="false">
      <c r="A3" s="10" t="s">
        <v>267</v>
      </c>
      <c r="B3" s="10"/>
      <c r="C3" s="10"/>
      <c r="D3" s="10"/>
      <c r="E3" s="10"/>
      <c r="F3" s="10"/>
      <c r="G3" s="10"/>
    </row>
    <row r="4" customFormat="false" ht="15" hidden="false" customHeight="false" outlineLevel="0" collapsed="false">
      <c r="A4" s="4" t="s">
        <v>268</v>
      </c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7</v>
      </c>
    </row>
    <row r="5" customFormat="false" ht="15" hidden="false" customHeight="false" outlineLevel="0" collapsed="false">
      <c r="A5" s="6" t="s">
        <v>274</v>
      </c>
      <c r="B5" s="6" t="s">
        <v>275</v>
      </c>
      <c r="C5" s="6" t="s">
        <v>276</v>
      </c>
      <c r="D5" s="58" t="n">
        <v>2200</v>
      </c>
      <c r="E5" s="39" t="n">
        <v>0.5</v>
      </c>
      <c r="F5" s="6" t="s">
        <v>277</v>
      </c>
      <c r="G5" s="3" t="s">
        <v>278</v>
      </c>
    </row>
    <row r="6" customFormat="false" ht="15" hidden="false" customHeight="false" outlineLevel="0" collapsed="false">
      <c r="A6" s="6" t="s">
        <v>279</v>
      </c>
      <c r="B6" s="6" t="s">
        <v>280</v>
      </c>
      <c r="C6" s="6" t="s">
        <v>281</v>
      </c>
      <c r="D6" s="58" t="n">
        <v>4800</v>
      </c>
      <c r="E6" s="39" t="n">
        <v>0.55</v>
      </c>
      <c r="F6" s="6" t="s">
        <v>282</v>
      </c>
      <c r="G6" s="3" t="s">
        <v>283</v>
      </c>
    </row>
    <row r="7" customFormat="false" ht="15" hidden="false" customHeight="false" outlineLevel="0" collapsed="false">
      <c r="A7" s="6" t="s">
        <v>284</v>
      </c>
      <c r="B7" s="6" t="s">
        <v>285</v>
      </c>
      <c r="C7" s="6" t="s">
        <v>286</v>
      </c>
      <c r="D7" s="58" t="n">
        <v>43000</v>
      </c>
      <c r="E7" s="39" t="n">
        <v>0.33</v>
      </c>
      <c r="F7" s="6" t="s">
        <v>277</v>
      </c>
      <c r="G7" s="3" t="s">
        <v>287</v>
      </c>
    </row>
    <row r="8" customFormat="false" ht="15" hidden="false" customHeight="false" outlineLevel="0" collapsed="false">
      <c r="A8" s="6" t="s">
        <v>288</v>
      </c>
      <c r="B8" s="6" t="s">
        <v>289</v>
      </c>
      <c r="C8" s="6" t="s">
        <v>286</v>
      </c>
      <c r="D8" s="58" t="n">
        <v>10800</v>
      </c>
      <c r="E8" s="39" t="n">
        <v>0.75</v>
      </c>
      <c r="F8" s="6" t="s">
        <v>290</v>
      </c>
      <c r="G8" s="3" t="s">
        <v>291</v>
      </c>
    </row>
    <row r="9" customFormat="false" ht="15" hidden="false" customHeight="false" outlineLevel="0" collapsed="false">
      <c r="A9" s="6" t="s">
        <v>292</v>
      </c>
      <c r="B9" s="6" t="s">
        <v>293</v>
      </c>
      <c r="C9" s="6" t="s">
        <v>294</v>
      </c>
      <c r="D9" s="58" t="n">
        <v>21000</v>
      </c>
      <c r="E9" s="39" t="n">
        <v>1.08</v>
      </c>
      <c r="F9" s="6" t="s">
        <v>295</v>
      </c>
      <c r="G9" s="3" t="s">
        <v>296</v>
      </c>
    </row>
    <row r="10" customFormat="false" ht="15" hidden="false" customHeight="false" outlineLevel="0" collapsed="false">
      <c r="A10" s="6" t="s">
        <v>297</v>
      </c>
      <c r="B10" s="6" t="s">
        <v>293</v>
      </c>
      <c r="C10" s="6" t="s">
        <v>294</v>
      </c>
      <c r="D10" s="58" t="n">
        <v>4900</v>
      </c>
      <c r="E10" s="39" t="n">
        <v>0.67</v>
      </c>
      <c r="F10" s="6" t="s">
        <v>298</v>
      </c>
      <c r="G10" s="3" t="s">
        <v>299</v>
      </c>
    </row>
    <row r="11" customFormat="false" ht="15" hidden="false" customHeight="false" outlineLevel="0" collapsed="false">
      <c r="A11" s="6" t="s">
        <v>300</v>
      </c>
      <c r="B11" s="6" t="s">
        <v>280</v>
      </c>
      <c r="C11" s="6" t="s">
        <v>301</v>
      </c>
      <c r="D11" s="58" t="n">
        <v>74000</v>
      </c>
      <c r="E11" s="39" t="n">
        <v>0.54</v>
      </c>
      <c r="F11" s="6" t="s">
        <v>277</v>
      </c>
      <c r="G11" s="3" t="s">
        <v>302</v>
      </c>
    </row>
    <row r="12" customFormat="false" ht="15" hidden="false" customHeight="false" outlineLevel="0" collapsed="false">
      <c r="A12" s="6" t="s">
        <v>303</v>
      </c>
      <c r="B12" s="6" t="s">
        <v>293</v>
      </c>
      <c r="C12" s="6" t="s">
        <v>304</v>
      </c>
      <c r="D12" s="58" t="n">
        <v>11900</v>
      </c>
      <c r="E12" s="39" t="n">
        <v>0.29</v>
      </c>
      <c r="F12" s="6" t="s">
        <v>305</v>
      </c>
      <c r="G12" s="3" t="s">
        <v>306</v>
      </c>
    </row>
    <row r="13" customFormat="false" ht="15" hidden="false" customHeight="false" outlineLevel="0" collapsed="false">
      <c r="A13" s="8" t="s">
        <v>307</v>
      </c>
      <c r="B13" s="59"/>
      <c r="C13" s="59"/>
      <c r="D13" s="59"/>
      <c r="E13" s="60" t="n">
        <f aca="false">AVERAGE(E5:E12)</f>
        <v>0.58875</v>
      </c>
      <c r="F13" s="59"/>
      <c r="G13" s="59"/>
    </row>
    <row r="14" customFormat="false" ht="15" hidden="false" customHeight="false" outlineLevel="0" collapsed="false">
      <c r="A14" s="5" t="s">
        <v>308</v>
      </c>
      <c r="E14" s="46" t="n">
        <f aca="false">MEDIAN(E5:E12)</f>
        <v>0.545</v>
      </c>
    </row>
    <row r="16" customFormat="false" ht="15" hidden="false" customHeight="false" outlineLevel="0" collapsed="false">
      <c r="A16" s="10" t="s">
        <v>309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6" t="s">
        <v>310</v>
      </c>
      <c r="B17" s="61" t="n">
        <f aca="false">'rNPV Model'!B18</f>
        <v>618.8</v>
      </c>
    </row>
    <row r="18" customFormat="false" ht="15" hidden="false" customHeight="false" outlineLevel="0" collapsed="false">
      <c r="A18" s="6" t="s">
        <v>311</v>
      </c>
      <c r="B18" s="62" t="n">
        <f aca="false">'rNPV Model'!B17</f>
        <v>4.76</v>
      </c>
    </row>
    <row r="19" customFormat="false" ht="15" hidden="false" customHeight="false" outlineLevel="0" collapsed="false">
      <c r="A19" s="6" t="s">
        <v>312</v>
      </c>
      <c r="B19" s="63" t="n">
        <f aca="false">'rNPV Model'!B16</f>
        <v>130</v>
      </c>
    </row>
    <row r="21" customFormat="false" ht="26.85" hidden="false" customHeight="false" outlineLevel="0" collapsed="false">
      <c r="A21" s="4" t="s">
        <v>313</v>
      </c>
      <c r="B21" s="4" t="s">
        <v>272</v>
      </c>
      <c r="C21" s="4" t="s">
        <v>314</v>
      </c>
      <c r="D21" s="4" t="s">
        <v>315</v>
      </c>
      <c r="E21" s="4" t="s">
        <v>316</v>
      </c>
    </row>
    <row r="22" customFormat="false" ht="15" hidden="false" customHeight="false" outlineLevel="0" collapsed="false">
      <c r="A22" s="6" t="s">
        <v>317</v>
      </c>
      <c r="B22" s="24" t="n">
        <v>0.5</v>
      </c>
      <c r="C22" s="14" t="n">
        <f aca="false">B18*(1+B22)</f>
        <v>7.14</v>
      </c>
      <c r="D22" s="64" t="n">
        <f aca="false">C22*B19</f>
        <v>928.2</v>
      </c>
      <c r="E22" s="15" t="n">
        <f aca="false">B22</f>
        <v>0.5</v>
      </c>
    </row>
    <row r="23" customFormat="false" ht="15" hidden="false" customHeight="false" outlineLevel="0" collapsed="false">
      <c r="A23" s="6" t="s">
        <v>318</v>
      </c>
      <c r="B23" s="24" t="n">
        <v>0.8</v>
      </c>
      <c r="C23" s="14" t="n">
        <f aca="false">B18*(1+B23)</f>
        <v>8.568</v>
      </c>
      <c r="D23" s="64" t="n">
        <f aca="false">C23*B19</f>
        <v>1113.84</v>
      </c>
      <c r="E23" s="15" t="n">
        <f aca="false">B23</f>
        <v>0.8</v>
      </c>
    </row>
    <row r="24" customFormat="false" ht="15" hidden="false" customHeight="false" outlineLevel="0" collapsed="false">
      <c r="A24" s="6" t="s">
        <v>319</v>
      </c>
      <c r="B24" s="24" t="n">
        <v>1.2</v>
      </c>
      <c r="C24" s="14" t="n">
        <f aca="false">B18*(1+B24)</f>
        <v>10.472</v>
      </c>
      <c r="D24" s="64" t="n">
        <f aca="false">C24*B19</f>
        <v>1361.36</v>
      </c>
      <c r="E24" s="15" t="n">
        <f aca="false">B24</f>
        <v>1.2</v>
      </c>
    </row>
    <row r="25" customFormat="false" ht="15" hidden="false" customHeight="false" outlineLevel="0" collapsed="false">
      <c r="A25" s="6" t="s">
        <v>320</v>
      </c>
      <c r="B25" s="24" t="n">
        <v>1.5</v>
      </c>
      <c r="C25" s="14" t="n">
        <f aca="false">B18*(1+B25)</f>
        <v>11.9</v>
      </c>
      <c r="D25" s="64" t="n">
        <f aca="false">C25*B19</f>
        <v>1547</v>
      </c>
      <c r="E25" s="15" t="n">
        <f aca="false">B25</f>
        <v>1.5</v>
      </c>
    </row>
    <row r="26" customFormat="false" ht="15" hidden="false" customHeight="false" outlineLevel="0" collapsed="false">
      <c r="A26" s="6" t="s">
        <v>321</v>
      </c>
      <c r="B26" s="65" t="n">
        <f aca="false">E14</f>
        <v>0.545</v>
      </c>
      <c r="C26" s="14" t="n">
        <f aca="false">B18*(1+B26)</f>
        <v>7.3542</v>
      </c>
      <c r="D26" s="64" t="n">
        <f aca="false">C26*B19</f>
        <v>956.046</v>
      </c>
      <c r="E26" s="15" t="n">
        <f aca="false">B26</f>
        <v>0.545</v>
      </c>
    </row>
    <row r="28" customFormat="false" ht="15" hidden="false" customHeight="false" outlineLevel="0" collapsed="false">
      <c r="A28" s="10" t="s">
        <v>322</v>
      </c>
      <c r="B28" s="10"/>
      <c r="C28" s="10"/>
      <c r="D28" s="10"/>
      <c r="E28" s="10"/>
      <c r="F28" s="10"/>
      <c r="G28" s="10"/>
    </row>
    <row r="29" customFormat="false" ht="26.85" hidden="false" customHeight="false" outlineLevel="0" collapsed="false">
      <c r="A29" s="4" t="s">
        <v>323</v>
      </c>
      <c r="B29" s="4" t="s">
        <v>324</v>
      </c>
      <c r="C29" s="4" t="s">
        <v>325</v>
      </c>
      <c r="D29" s="4" t="s">
        <v>326</v>
      </c>
      <c r="E29" s="4" t="s">
        <v>327</v>
      </c>
    </row>
    <row r="30" customFormat="false" ht="15" hidden="false" customHeight="false" outlineLevel="0" collapsed="false">
      <c r="A30" s="6" t="s">
        <v>328</v>
      </c>
      <c r="B30" s="58" t="n">
        <v>145</v>
      </c>
      <c r="C30" s="6" t="s">
        <v>329</v>
      </c>
      <c r="D30" s="6" t="s">
        <v>330</v>
      </c>
      <c r="E30" s="66" t="s">
        <v>331</v>
      </c>
    </row>
    <row r="31" customFormat="false" ht="15" hidden="false" customHeight="false" outlineLevel="0" collapsed="false">
      <c r="A31" s="6" t="s">
        <v>332</v>
      </c>
      <c r="B31" s="58" t="n">
        <v>115</v>
      </c>
      <c r="C31" s="6" t="s">
        <v>333</v>
      </c>
      <c r="D31" s="6" t="s">
        <v>334</v>
      </c>
      <c r="E31" s="54" t="s">
        <v>335</v>
      </c>
    </row>
    <row r="32" customFormat="false" ht="15" hidden="false" customHeight="false" outlineLevel="0" collapsed="false">
      <c r="A32" s="6" t="s">
        <v>336</v>
      </c>
      <c r="B32" s="58" t="n">
        <v>330</v>
      </c>
      <c r="C32" s="6" t="s">
        <v>337</v>
      </c>
      <c r="D32" s="6" t="s">
        <v>338</v>
      </c>
      <c r="E32" s="66" t="s">
        <v>331</v>
      </c>
    </row>
    <row r="33" customFormat="false" ht="15" hidden="false" customHeight="false" outlineLevel="0" collapsed="false">
      <c r="A33" s="6" t="s">
        <v>339</v>
      </c>
      <c r="B33" s="58" t="n">
        <v>250</v>
      </c>
      <c r="C33" s="6" t="s">
        <v>340</v>
      </c>
      <c r="D33" s="6" t="s">
        <v>341</v>
      </c>
      <c r="E33" s="5" t="s">
        <v>342</v>
      </c>
    </row>
    <row r="34" customFormat="false" ht="15" hidden="false" customHeight="false" outlineLevel="0" collapsed="false">
      <c r="A34" s="6" t="s">
        <v>343</v>
      </c>
      <c r="B34" s="58" t="n">
        <v>390</v>
      </c>
      <c r="C34" s="6" t="s">
        <v>344</v>
      </c>
      <c r="D34" s="6" t="s">
        <v>345</v>
      </c>
      <c r="E34" s="5" t="s">
        <v>346</v>
      </c>
    </row>
    <row r="35" customFormat="false" ht="15" hidden="false" customHeight="false" outlineLevel="0" collapsed="false">
      <c r="A35" s="6" t="s">
        <v>347</v>
      </c>
      <c r="B35" s="58" t="n">
        <v>100</v>
      </c>
      <c r="C35" s="6" t="s">
        <v>348</v>
      </c>
      <c r="D35" s="6" t="s">
        <v>349</v>
      </c>
      <c r="E35" s="66" t="s">
        <v>331</v>
      </c>
    </row>
    <row r="37" customFormat="false" ht="15" hidden="false" customHeight="false" outlineLevel="0" collapsed="false">
      <c r="A37" s="10" t="s">
        <v>350</v>
      </c>
      <c r="B37" s="10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57" t="s">
        <v>351</v>
      </c>
      <c r="B38" s="57"/>
      <c r="C38" s="57"/>
      <c r="D38" s="57"/>
      <c r="E38" s="57"/>
      <c r="F38" s="57"/>
      <c r="G38" s="57"/>
    </row>
    <row r="40" customFormat="false" ht="15" hidden="false" customHeight="false" outlineLevel="0" collapsed="false">
      <c r="A40" s="4" t="s">
        <v>352</v>
      </c>
      <c r="B40" s="4" t="s">
        <v>353</v>
      </c>
      <c r="C40" s="4" t="s">
        <v>354</v>
      </c>
      <c r="D40" s="4" t="s">
        <v>355</v>
      </c>
    </row>
    <row r="41" customFormat="false" ht="15" hidden="false" customHeight="false" outlineLevel="0" collapsed="false">
      <c r="A41" s="6" t="s">
        <v>356</v>
      </c>
      <c r="B41" s="27" t="n">
        <v>7</v>
      </c>
      <c r="C41" s="28" t="n">
        <f aca="false">B41*B19</f>
        <v>910</v>
      </c>
      <c r="D41" s="6" t="s">
        <v>357</v>
      </c>
    </row>
    <row r="42" customFormat="false" ht="15" hidden="false" customHeight="false" outlineLevel="0" collapsed="false">
      <c r="A42" s="6" t="s">
        <v>358</v>
      </c>
      <c r="B42" s="27" t="n">
        <v>3</v>
      </c>
      <c r="C42" s="28" t="n">
        <f aca="false">B42*B19</f>
        <v>390</v>
      </c>
      <c r="D42" s="6" t="s">
        <v>359</v>
      </c>
    </row>
    <row r="43" customFormat="false" ht="15" hidden="false" customHeight="false" outlineLevel="0" collapsed="false">
      <c r="A43" s="6" t="s">
        <v>360</v>
      </c>
      <c r="B43" s="27" t="n">
        <v>3</v>
      </c>
      <c r="C43" s="28" t="n">
        <f aca="false">B43*B19</f>
        <v>390</v>
      </c>
      <c r="D43" s="6" t="s">
        <v>361</v>
      </c>
    </row>
    <row r="44" customFormat="false" ht="15" hidden="false" customHeight="false" outlineLevel="0" collapsed="false">
      <c r="A44" s="6" t="s">
        <v>362</v>
      </c>
      <c r="B44" s="27" t="n">
        <v>2</v>
      </c>
      <c r="C44" s="28" t="n">
        <f aca="false">B44*B19</f>
        <v>260</v>
      </c>
      <c r="D44" s="6" t="s">
        <v>363</v>
      </c>
    </row>
    <row r="45" customFormat="false" ht="15" hidden="false" customHeight="false" outlineLevel="0" collapsed="false">
      <c r="A45" s="22" t="s">
        <v>364</v>
      </c>
      <c r="B45" s="67" t="n">
        <f aca="false">SUM(B41:B44)</f>
        <v>15</v>
      </c>
      <c r="C45" s="68" t="n">
        <f aca="false">B45*B19</f>
        <v>1950</v>
      </c>
      <c r="D45" s="69"/>
    </row>
    <row r="47" customFormat="false" ht="15" hidden="false" customHeight="false" outlineLevel="0" collapsed="false">
      <c r="A47" s="10" t="s">
        <v>365</v>
      </c>
      <c r="B47" s="10"/>
      <c r="C47" s="10"/>
      <c r="D47" s="10"/>
      <c r="E47" s="10"/>
      <c r="F47" s="10"/>
      <c r="G47" s="10"/>
    </row>
    <row r="48" customFormat="false" ht="15" hidden="false" customHeight="false" outlineLevel="0" collapsed="false">
      <c r="A48" s="6" t="s">
        <v>366</v>
      </c>
      <c r="B48" s="24" t="n">
        <v>0.15</v>
      </c>
      <c r="C48" s="3" t="s">
        <v>367</v>
      </c>
    </row>
    <row r="49" customFormat="false" ht="15" hidden="false" customHeight="false" outlineLevel="0" collapsed="false">
      <c r="A49" s="6" t="s">
        <v>368</v>
      </c>
      <c r="B49" s="24" t="n">
        <v>0.35</v>
      </c>
      <c r="C49" s="3" t="s">
        <v>369</v>
      </c>
    </row>
    <row r="50" customFormat="false" ht="15" hidden="false" customHeight="false" outlineLevel="0" collapsed="false">
      <c r="A50" s="6" t="s">
        <v>319</v>
      </c>
      <c r="B50" s="24" t="n">
        <v>0.55</v>
      </c>
      <c r="C50" s="3" t="s">
        <v>370</v>
      </c>
    </row>
    <row r="51" customFormat="false" ht="15" hidden="false" customHeight="false" outlineLevel="0" collapsed="false">
      <c r="A51" s="6" t="s">
        <v>371</v>
      </c>
      <c r="B51" s="24" t="n">
        <v>0.4</v>
      </c>
      <c r="C51" s="3" t="s">
        <v>372</v>
      </c>
    </row>
  </sheetData>
  <mergeCells count="1"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373</v>
      </c>
    </row>
    <row r="3" customFormat="false" ht="15" hidden="false" customHeight="false" outlineLevel="0" collapsed="false">
      <c r="A3" s="10" t="s">
        <v>374</v>
      </c>
      <c r="B3" s="10"/>
      <c r="C3" s="10"/>
      <c r="D3" s="10"/>
      <c r="E3" s="10"/>
      <c r="F3" s="10"/>
      <c r="G3" s="10"/>
      <c r="H3" s="10"/>
    </row>
    <row r="4" customFormat="false" ht="26.85" hidden="false" customHeight="false" outlineLevel="0" collapsed="false">
      <c r="A4" s="4" t="s">
        <v>323</v>
      </c>
      <c r="B4" s="4" t="s">
        <v>375</v>
      </c>
      <c r="C4" s="4" t="s">
        <v>376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</row>
    <row r="5" customFormat="false" ht="15" hidden="false" customHeight="false" outlineLevel="0" collapsed="false">
      <c r="A5" s="6" t="s">
        <v>382</v>
      </c>
      <c r="B5" s="6" t="s">
        <v>383</v>
      </c>
      <c r="C5" s="58" t="n">
        <v>850</v>
      </c>
      <c r="D5" s="58" t="n">
        <v>120</v>
      </c>
      <c r="E5" s="6" t="s">
        <v>384</v>
      </c>
      <c r="F5" s="58" t="n">
        <v>90</v>
      </c>
      <c r="G5" s="20" t="n">
        <f aca="false">D5/(F5/1000)</f>
        <v>1333.33333333333</v>
      </c>
      <c r="H5" s="55" t="n">
        <v>4</v>
      </c>
    </row>
    <row r="6" customFormat="false" ht="15" hidden="false" customHeight="false" outlineLevel="0" collapsed="false">
      <c r="A6" s="6" t="s">
        <v>385</v>
      </c>
      <c r="B6" s="6" t="s">
        <v>386</v>
      </c>
      <c r="C6" s="58" t="n">
        <v>420</v>
      </c>
      <c r="D6" s="58" t="n">
        <v>180</v>
      </c>
      <c r="E6" s="6" t="s">
        <v>384</v>
      </c>
      <c r="F6" s="58" t="n">
        <v>95</v>
      </c>
      <c r="G6" s="20" t="n">
        <f aca="false">D6/(F6/1000)</f>
        <v>1894.73684210526</v>
      </c>
      <c r="H6" s="55" t="n">
        <v>5</v>
      </c>
    </row>
    <row r="7" customFormat="false" ht="15" hidden="false" customHeight="false" outlineLevel="0" collapsed="false">
      <c r="A7" s="6" t="s">
        <v>387</v>
      </c>
      <c r="B7" s="6" t="s">
        <v>388</v>
      </c>
      <c r="C7" s="58" t="n">
        <v>180</v>
      </c>
      <c r="D7" s="58" t="n">
        <v>85</v>
      </c>
      <c r="E7" s="6" t="s">
        <v>298</v>
      </c>
      <c r="F7" s="58" t="n">
        <v>70</v>
      </c>
      <c r="G7" s="20" t="n">
        <f aca="false">D7/(F7/1000)</f>
        <v>1214.28571428571</v>
      </c>
      <c r="H7" s="55" t="n">
        <v>3</v>
      </c>
    </row>
    <row r="8" customFormat="false" ht="15" hidden="false" customHeight="false" outlineLevel="0" collapsed="false">
      <c r="A8" s="6" t="s">
        <v>389</v>
      </c>
      <c r="B8" s="6" t="s">
        <v>390</v>
      </c>
      <c r="C8" s="58" t="n">
        <v>65</v>
      </c>
      <c r="D8" s="58" t="n">
        <v>25</v>
      </c>
      <c r="E8" s="6" t="s">
        <v>298</v>
      </c>
      <c r="F8" s="58" t="n">
        <v>20</v>
      </c>
      <c r="G8" s="20" t="n">
        <f aca="false">D8/(F8/1000)</f>
        <v>1250</v>
      </c>
      <c r="H8" s="55" t="n">
        <v>2</v>
      </c>
    </row>
    <row r="9" customFormat="false" ht="15" hidden="false" customHeight="false" outlineLevel="0" collapsed="false">
      <c r="A9" s="70" t="s">
        <v>391</v>
      </c>
      <c r="B9" s="70" t="s">
        <v>392</v>
      </c>
      <c r="C9" s="71" t="n">
        <f aca="false">'rNPV Model'!B18</f>
        <v>618.8</v>
      </c>
      <c r="D9" s="71" t="n">
        <f aca="false">'Balance Sheet'!D6</f>
        <v>44300</v>
      </c>
      <c r="E9" s="70" t="s">
        <v>384</v>
      </c>
      <c r="F9" s="71" t="n">
        <f aca="false">'Income Statement'!D13</f>
        <v>31500</v>
      </c>
      <c r="G9" s="72" t="n">
        <f aca="false">D9/(F9/1000)</f>
        <v>1406.34920634921</v>
      </c>
      <c r="H9" s="73" t="n">
        <v>2</v>
      </c>
    </row>
    <row r="10" customFormat="false" ht="15" hidden="false" customHeight="false" outlineLevel="0" collapsed="false">
      <c r="A10" s="8" t="s">
        <v>393</v>
      </c>
      <c r="B10" s="59"/>
      <c r="C10" s="74" t="n">
        <f aca="false">AVERAGE(C5:C8)</f>
        <v>378.75</v>
      </c>
      <c r="D10" s="59"/>
      <c r="E10" s="59"/>
      <c r="F10" s="59"/>
      <c r="G10" s="59"/>
      <c r="H10" s="59"/>
    </row>
    <row r="12" customFormat="false" ht="15" hidden="false" customHeight="false" outlineLevel="0" collapsed="false">
      <c r="A12" s="10" t="s">
        <v>394</v>
      </c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4" t="s">
        <v>395</v>
      </c>
      <c r="B13" s="4" t="s">
        <v>396</v>
      </c>
      <c r="C13" s="4" t="s">
        <v>397</v>
      </c>
      <c r="D13" s="4" t="s">
        <v>398</v>
      </c>
      <c r="E13" s="4" t="s">
        <v>399</v>
      </c>
      <c r="F13" s="4" t="s">
        <v>169</v>
      </c>
    </row>
    <row r="14" customFormat="false" ht="15" hidden="false" customHeight="false" outlineLevel="0" collapsed="false">
      <c r="A14" s="6" t="s">
        <v>400</v>
      </c>
      <c r="B14" s="75" t="n">
        <f aca="false">'rNPV Model'!B43</f>
        <v>26.7676472008029</v>
      </c>
      <c r="C14" s="76" t="n">
        <f aca="false">'rNPV Model'!B68</f>
        <v>15.4675802844557</v>
      </c>
      <c r="D14" s="77" t="n">
        <f aca="false">'rNPV Model'!B93</f>
        <v>2.28785998284536</v>
      </c>
      <c r="E14" s="14" t="n">
        <f aca="false">B14*0.25+C14*0.45+D14*0.3</f>
        <v>14.3386809230594</v>
      </c>
      <c r="F14" s="24" t="n">
        <v>0.4</v>
      </c>
    </row>
    <row r="15" customFormat="false" ht="15" hidden="false" customHeight="false" outlineLevel="0" collapsed="false">
      <c r="A15" s="6" t="s">
        <v>401</v>
      </c>
      <c r="B15" s="75" t="n">
        <f aca="false">'M&amp;A Buyout Analysis'!C23</f>
        <v>8.568</v>
      </c>
      <c r="C15" s="76" t="n">
        <f aca="false">'M&amp;A Buyout Analysis'!C22</f>
        <v>7.14</v>
      </c>
      <c r="D15" s="77" t="n">
        <f aca="false">'rNPV Model'!B17</f>
        <v>4.76</v>
      </c>
      <c r="E15" s="14" t="n">
        <f aca="false">B15*0.25+C15*0.45+D15*0.3</f>
        <v>6.783</v>
      </c>
      <c r="F15" s="24" t="n">
        <v>0.15</v>
      </c>
    </row>
    <row r="16" customFormat="false" ht="15" hidden="false" customHeight="false" outlineLevel="0" collapsed="false">
      <c r="A16" s="6" t="s">
        <v>402</v>
      </c>
      <c r="B16" s="75" t="n">
        <f aca="false">'M&amp;A Buyout Analysis'!C25</f>
        <v>11.9</v>
      </c>
      <c r="C16" s="76" t="n">
        <f aca="false">'M&amp;A Buyout Analysis'!C24</f>
        <v>10.472</v>
      </c>
      <c r="D16" s="77" t="n">
        <f aca="false">'rNPV Model'!B17</f>
        <v>4.76</v>
      </c>
      <c r="E16" s="14" t="n">
        <f aca="false">B16*0.25+C16*0.45+D16*0.3</f>
        <v>9.1154</v>
      </c>
      <c r="F16" s="24" t="n">
        <v>0.15</v>
      </c>
    </row>
    <row r="17" customFormat="false" ht="15" hidden="false" customHeight="false" outlineLevel="0" collapsed="false">
      <c r="A17" s="6" t="s">
        <v>403</v>
      </c>
      <c r="B17" s="75" t="n">
        <f aca="false">'rNPV Model'!B43*0.85+'rNPV Model'!B43*0.15</f>
        <v>26.7676472008029</v>
      </c>
      <c r="C17" s="76" t="n">
        <f aca="false">'rNPV Model'!B68*0.85+'rNPV Model'!B68*0.15</f>
        <v>15.4675802844557</v>
      </c>
      <c r="D17" s="77" t="n">
        <f aca="false">'rNPV Model'!B93</f>
        <v>2.28785998284536</v>
      </c>
      <c r="E17" s="14" t="n">
        <f aca="false">B17*0.25+C17*0.45+D17*0.3</f>
        <v>14.3386809230594</v>
      </c>
      <c r="F17" s="24" t="n">
        <v>0.2</v>
      </c>
    </row>
    <row r="18" customFormat="false" ht="15" hidden="false" customHeight="false" outlineLevel="0" collapsed="false">
      <c r="A18" s="6" t="s">
        <v>404</v>
      </c>
      <c r="B18" s="75" t="n">
        <f aca="false">'Balance Sheet'!D6/('rNPV Model'!B16*1000)</f>
        <v>0.340769230769231</v>
      </c>
      <c r="C18" s="76" t="n">
        <f aca="false">'Balance Sheet'!D6/('rNPV Model'!B16*1000)</f>
        <v>0.340769230769231</v>
      </c>
      <c r="D18" s="77" t="n">
        <f aca="false">'Balance Sheet'!D6/('rNPV Model'!B16*1000)</f>
        <v>0.340769230769231</v>
      </c>
      <c r="E18" s="14" t="n">
        <f aca="false">B18*0.25+C18*0.45+D18*0.3</f>
        <v>0.340769230769231</v>
      </c>
      <c r="F18" s="24" t="n">
        <v>0.1</v>
      </c>
    </row>
    <row r="19" customFormat="false" ht="15" hidden="false" customHeight="false" outlineLevel="0" collapsed="false">
      <c r="A19" s="41" t="s">
        <v>405</v>
      </c>
      <c r="B19" s="42"/>
      <c r="C19" s="42"/>
      <c r="D19" s="42"/>
      <c r="E19" s="78" t="n">
        <f aca="false">SUMPRODUCT(E14:E18,F14:F18)</f>
        <v>11.0220454769126</v>
      </c>
      <c r="F19" s="42"/>
      <c r="I19" s="3" t="s">
        <v>406</v>
      </c>
    </row>
    <row r="20" customFormat="false" ht="15" hidden="false" customHeight="false" outlineLevel="0" collapsed="false">
      <c r="A20" s="6" t="s">
        <v>175</v>
      </c>
      <c r="E20" s="62" t="n">
        <f aca="false">'rNPV Model'!B17</f>
        <v>4.76</v>
      </c>
    </row>
    <row r="21" customFormat="false" ht="15" hidden="false" customHeight="false" outlineLevel="0" collapsed="false">
      <c r="A21" s="5" t="s">
        <v>176</v>
      </c>
      <c r="E21" s="46" t="n">
        <f aca="false">(E19-E20)/E20</f>
        <v>1.31555577246062</v>
      </c>
    </row>
    <row r="23" customFormat="false" ht="15" hidden="false" customHeight="false" outlineLevel="0" collapsed="false">
      <c r="A23" s="10" t="s">
        <v>407</v>
      </c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57" t="s">
        <v>408</v>
      </c>
      <c r="B24" s="57"/>
      <c r="C24" s="57"/>
      <c r="D24" s="57"/>
      <c r="E24" s="57"/>
      <c r="F24" s="57"/>
    </row>
    <row r="25" customFormat="false" ht="15" hidden="false" customHeight="false" outlineLevel="0" collapsed="false">
      <c r="A25" s="57" t="s">
        <v>409</v>
      </c>
      <c r="B25" s="57"/>
      <c r="C25" s="57"/>
      <c r="D25" s="57"/>
      <c r="E25" s="57"/>
      <c r="F25" s="57"/>
    </row>
    <row r="26" customFormat="false" ht="15" hidden="false" customHeight="false" outlineLevel="0" collapsed="false">
      <c r="A26" s="57" t="s">
        <v>410</v>
      </c>
      <c r="B26" s="57"/>
      <c r="C26" s="57"/>
      <c r="D26" s="57"/>
      <c r="E26" s="57"/>
      <c r="F26" s="57"/>
    </row>
    <row r="27" customFormat="false" ht="15" hidden="false" customHeight="false" outlineLevel="0" collapsed="false">
      <c r="A27" s="57" t="s">
        <v>411</v>
      </c>
      <c r="B27" s="57"/>
      <c r="C27" s="57"/>
      <c r="D27" s="57"/>
      <c r="E27" s="57"/>
      <c r="F27" s="57"/>
    </row>
    <row r="28" customFormat="false" ht="15" hidden="false" customHeight="false" outlineLevel="0" collapsed="false">
      <c r="A28" s="57" t="s">
        <v>412</v>
      </c>
      <c r="B28" s="57"/>
      <c r="C28" s="57"/>
      <c r="D28" s="57"/>
      <c r="E28" s="57"/>
      <c r="F28" s="57"/>
    </row>
    <row r="29" customFormat="false" ht="15" hidden="false" customHeight="false" outlineLevel="0" collapsed="false">
      <c r="A29" s="57" t="s">
        <v>413</v>
      </c>
      <c r="B29" s="57"/>
      <c r="C29" s="57"/>
      <c r="D29" s="57"/>
      <c r="E29" s="57"/>
      <c r="F29" s="57"/>
    </row>
  </sheetData>
  <mergeCells count="6"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2026-03-23T19:59:00Z</dcterms:created>
  <dc:creator>openpyxl</dc:creator>
  <dc:description/>
  <dc:language>en-US</dc:language>
  <cp:lastModifiedBy/>
  <dcterms:modified xsi:type="dcterms:W3CDTF">2026-03-23T15:59:06Z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